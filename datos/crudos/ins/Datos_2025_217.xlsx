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icrodatos_Salida\2025\"/>
    </mc:Choice>
  </mc:AlternateContent>
  <xr:revisionPtr revIDLastSave="0" documentId="13_ncr:1_{874ABE9C-E708-4AF9-B761-66E721D1EE4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26" i="1" l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3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<sst xmlns="http://schemas.openxmlformats.org/spreadsheetml/2006/main" count="69" uniqueCount="69">
  <si>
    <t>CONSECUTIVE</t>
  </si>
  <si>
    <t>COD_EVE</t>
  </si>
  <si>
    <t>FEC_NOT</t>
  </si>
  <si>
    <t>SEMANA</t>
  </si>
  <si>
    <t>ANO</t>
  </si>
  <si>
    <t>COD_PRE</t>
  </si>
  <si>
    <t>COD_SUB</t>
  </si>
  <si>
    <t>EDAD</t>
  </si>
  <si>
    <t>UNI_MED</t>
  </si>
  <si>
    <t>SEXO</t>
  </si>
  <si>
    <t>COD_PAIS_O</t>
  </si>
  <si>
    <t>COD_DPTO_O</t>
  </si>
  <si>
    <t>COD_MUN_O</t>
  </si>
  <si>
    <t>AREA</t>
  </si>
  <si>
    <t>OCUPACION</t>
  </si>
  <si>
    <t>TIP_SS</t>
  </si>
  <si>
    <t>COD_ASE</t>
  </si>
  <si>
    <t>PER_ETN</t>
  </si>
  <si>
    <t>GRU_POB</t>
  </si>
  <si>
    <t>nom_grupo</t>
  </si>
  <si>
    <t>estrato</t>
  </si>
  <si>
    <t>GP_DISCAPA</t>
  </si>
  <si>
    <t>GP_DESPLAZ</t>
  </si>
  <si>
    <t>GP_MIGRANT</t>
  </si>
  <si>
    <t>GP_CARCELA</t>
  </si>
  <si>
    <t>GP_GESTAN</t>
  </si>
  <si>
    <t>sem_ges</t>
  </si>
  <si>
    <t>GP_INDIGEN</t>
  </si>
  <si>
    <t>GP_POBICFB</t>
  </si>
  <si>
    <t>GP_MAD_COM</t>
  </si>
  <si>
    <t>GP_DESMOVI</t>
  </si>
  <si>
    <t>GP_PSIQUIA</t>
  </si>
  <si>
    <t>GP_VIC_VIO</t>
  </si>
  <si>
    <t>GP_OTROS</t>
  </si>
  <si>
    <t>fuente</t>
  </si>
  <si>
    <t>COD_PAIS_R</t>
  </si>
  <si>
    <t>COD_DPTO_R</t>
  </si>
  <si>
    <t>COD_MUN_R</t>
  </si>
  <si>
    <t>COD_DPTO_N</t>
  </si>
  <si>
    <t>COD_MUN_N</t>
  </si>
  <si>
    <t>FEC_CON</t>
  </si>
  <si>
    <t>INI_SIN</t>
  </si>
  <si>
    <t>TIP_CAS</t>
  </si>
  <si>
    <t>PAC_HOS</t>
  </si>
  <si>
    <t>FEC_HOS</t>
  </si>
  <si>
    <t>CON_FIN</t>
  </si>
  <si>
    <t>FEC_DEF</t>
  </si>
  <si>
    <t>AJUSTE</t>
  </si>
  <si>
    <t>FECHA_NTO</t>
  </si>
  <si>
    <t>CBMTE</t>
  </si>
  <si>
    <t>FEC_ARC_XL</t>
  </si>
  <si>
    <t>FEC_AJU</t>
  </si>
  <si>
    <t>FM_FUERZA</t>
  </si>
  <si>
    <t>FM_UNIDAD</t>
  </si>
  <si>
    <t>FM_GRADO</t>
  </si>
  <si>
    <t>confirmados</t>
  </si>
  <si>
    <t>va_sispro</t>
  </si>
  <si>
    <t>Estado_final_de_caso</t>
  </si>
  <si>
    <t>nom_est_f_caso</t>
  </si>
  <si>
    <t>Nombre_upgd</t>
  </si>
  <si>
    <t>Pais_ocurrencia</t>
  </si>
  <si>
    <t>Nombre_evento</t>
  </si>
  <si>
    <t>Departamento_ocurrencia</t>
  </si>
  <si>
    <t>Municipio_ocurrencia</t>
  </si>
  <si>
    <t>Pais_residencia</t>
  </si>
  <si>
    <t>Departamento_residencia</t>
  </si>
  <si>
    <t>Municipio_residencia</t>
  </si>
  <si>
    <t>Departamento_Notificacion</t>
  </si>
  <si>
    <t>Municipio_notificacion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</si>
</sst>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Q26">
  <autoFilter ref="A1:BQ26" xr:uid="{00000000-0009-0000-0100-000001000000}"/>
  <tableColumns count="69">
    <tableColumn id="1" xr3:uid="{00000000-0010-0000-0000-000001000000}" name="CONSECUTIVE"/>
    <tableColumn id="2" xr3:uid="{00000000-0010-0000-0000-000002000000}" name="COD_EVE"/>
    <tableColumn id="3" xr3:uid="{00000000-0010-0000-0000-000003000000}" name="FEC_NOT"/>
    <tableColumn id="4" xr3:uid="{00000000-0010-0000-0000-000004000000}" name="SEMANA"/>
    <tableColumn id="5" xr3:uid="{00000000-0010-0000-0000-000005000000}" name="ANO"/>
    <tableColumn id="6" xr3:uid="{00000000-0010-0000-0000-000006000000}" name="COD_PRE"/>
    <tableColumn id="7" xr3:uid="{00000000-0010-0000-0000-000007000000}" name="COD_SUB"/>
    <tableColumn id="8" xr3:uid="{00000000-0010-0000-0000-000008000000}" name="EDAD"/>
    <tableColumn id="9" xr3:uid="{00000000-0010-0000-0000-000009000000}" name="UNI_MED"/>
    <tableColumn id="12" xr3:uid="{00000000-0010-0000-0000-00000C000000}" name="SEXO"/>
    <tableColumn id="13" xr3:uid="{00000000-0010-0000-0000-00000D000000}" name="COD_PAIS_O"/>
    <tableColumn id="14" xr3:uid="{00000000-0010-0000-0000-00000E000000}" name="COD_DPTO_O"/>
    <tableColumn id="15" xr3:uid="{00000000-0010-0000-0000-00000F000000}" name="COD_MUN_O"/>
    <tableColumn id="16" xr3:uid="{00000000-0010-0000-0000-000010000000}" name="AREA"/>
    <tableColumn id="17" xr3:uid="{00000000-0010-0000-0000-000011000000}" name="OCUPACION"/>
    <tableColumn id="18" xr3:uid="{00000000-0010-0000-0000-000012000000}" name="TIP_SS"/>
    <tableColumn id="19" xr3:uid="{00000000-0010-0000-0000-000013000000}" name="COD_ASE"/>
    <tableColumn id="20" xr3:uid="{00000000-0010-0000-0000-000014000000}" name="PER_ETN"/>
    <tableColumn id="21" xr3:uid="{00000000-0010-0000-0000-000015000000}" name="GRU_POB"/>
    <tableColumn id="22" xr3:uid="{00000000-0010-0000-0000-000016000000}" name="nom_grupo"/>
    <tableColumn id="23" xr3:uid="{00000000-0010-0000-0000-000017000000}" name="estrato"/>
    <tableColumn id="24" xr3:uid="{00000000-0010-0000-0000-000018000000}" name="GP_DISCAPA"/>
    <tableColumn id="25" xr3:uid="{00000000-0010-0000-0000-000019000000}" name="GP_DESPLAZ"/>
    <tableColumn id="26" xr3:uid="{00000000-0010-0000-0000-00001A000000}" name="GP_MIGRANT"/>
    <tableColumn id="27" xr3:uid="{00000000-0010-0000-0000-00001B000000}" name="GP_CARCELA"/>
    <tableColumn id="28" xr3:uid="{00000000-0010-0000-0000-00001C000000}" name="GP_GESTAN"/>
    <tableColumn id="29" xr3:uid="{00000000-0010-0000-0000-00001D000000}" name="sem_ges"/>
    <tableColumn id="30" xr3:uid="{00000000-0010-0000-0000-00001E000000}" name="GP_INDIGEN"/>
    <tableColumn id="31" xr3:uid="{00000000-0010-0000-0000-00001F000000}" name="GP_POBICFB"/>
    <tableColumn id="32" xr3:uid="{00000000-0010-0000-0000-000020000000}" name="GP_MAD_COM"/>
    <tableColumn id="33" xr3:uid="{00000000-0010-0000-0000-000021000000}" name="GP_DESMOVI"/>
    <tableColumn id="34" xr3:uid="{00000000-0010-0000-0000-000022000000}" name="GP_PSIQUIA"/>
    <tableColumn id="35" xr3:uid="{00000000-0010-0000-0000-000023000000}" name="GP_VIC_VIO"/>
    <tableColumn id="36" xr3:uid="{00000000-0010-0000-0000-000024000000}" name="GP_OTROS"/>
    <tableColumn id="37" xr3:uid="{00000000-0010-0000-0000-000025000000}" name="fuente"/>
    <tableColumn id="38" xr3:uid="{00000000-0010-0000-0000-000026000000}" name="COD_PAIS_R"/>
    <tableColumn id="39" xr3:uid="{00000000-0010-0000-0000-000027000000}" name="COD_DPTO_R"/>
    <tableColumn id="40" xr3:uid="{00000000-0010-0000-0000-000028000000}" name="COD_MUN_R"/>
    <tableColumn id="41" xr3:uid="{00000000-0010-0000-0000-000029000000}" name="COD_DPTO_N"/>
    <tableColumn id="42" xr3:uid="{00000000-0010-0000-0000-00002A000000}" name="COD_MUN_N"/>
    <tableColumn id="43" xr3:uid="{00000000-0010-0000-0000-00002B000000}" name="FEC_CON"/>
    <tableColumn id="44" xr3:uid="{00000000-0010-0000-0000-00002C000000}" name="INI_SIN"/>
    <tableColumn id="45" xr3:uid="{00000000-0010-0000-0000-00002D000000}" name="TIP_CAS"/>
    <tableColumn id="46" xr3:uid="{00000000-0010-0000-0000-00002E000000}" name="PAC_HOS"/>
    <tableColumn id="47" xr3:uid="{00000000-0010-0000-0000-00002F000000}" name="FEC_HOS"/>
    <tableColumn id="48" xr3:uid="{00000000-0010-0000-0000-000030000000}" name="CON_FIN"/>
    <tableColumn id="49" xr3:uid="{00000000-0010-0000-0000-000031000000}" name="FEC_DEF"/>
    <tableColumn id="50" xr3:uid="{00000000-0010-0000-0000-000032000000}" name="AJUSTE"/>
    <tableColumn id="51" xr3:uid="{00000000-0010-0000-0000-000033000000}" name="FECHA_NTO"/>
    <tableColumn id="52" xr3:uid="{00000000-0010-0000-0000-000034000000}" name="CBMTE"/>
    <tableColumn id="53" xr3:uid="{00000000-0010-0000-0000-000035000000}" name="FEC_ARC_XL"/>
    <tableColumn id="54" xr3:uid="{00000000-0010-0000-0000-000036000000}" name="FEC_AJU"/>
    <tableColumn id="55" xr3:uid="{00000000-0010-0000-0000-000037000000}" name="FM_FUERZA"/>
    <tableColumn id="56" xr3:uid="{00000000-0010-0000-0000-000038000000}" name="FM_UNIDAD"/>
    <tableColumn id="57" xr3:uid="{00000000-0010-0000-0000-000039000000}" name="FM_GRADO"/>
    <tableColumn id="58" xr3:uid="{00000000-0010-0000-0000-00003A000000}" name="confirmados"/>
    <tableColumn id="59" xr3:uid="{00000000-0010-0000-0000-00003B000000}" name="va_sispro"/>
    <tableColumn id="60" xr3:uid="{00000000-0010-0000-0000-00003C000000}" name="Estado_final_de_caso"/>
    <tableColumn id="61" xr3:uid="{00000000-0010-0000-0000-00003D000000}" name="nom_est_f_caso"/>
    <tableColumn id="62" xr3:uid="{00000000-0010-0000-0000-00003E000000}" name="Nombre_upgd"/>
    <tableColumn id="63" xr3:uid="{00000000-0010-0000-0000-00003F000000}" name="Pais_ocurrencia"/>
    <tableColumn id="64" xr3:uid="{00000000-0010-0000-0000-000040000000}" name="Nombre_evento"/>
    <tableColumn id="65" xr3:uid="{00000000-0010-0000-0000-000041000000}" name="Departamento_ocurrencia"/>
    <tableColumn id="66" xr3:uid="{00000000-0010-0000-0000-000042000000}" name="Municipio_ocurrencia"/>
    <tableColumn id="67" xr3:uid="{00000000-0010-0000-0000-000043000000}" name="Pais_residencia"/>
    <tableColumn id="68" xr3:uid="{00000000-0010-0000-0000-000044000000}" name="Departamento_residencia"/>
    <tableColumn id="69" xr3:uid="{00000000-0010-0000-0000-000045000000}" name="Municipio_residencia"/>
    <tableColumn id="70" xr3:uid="{00000000-0010-0000-0000-000046000000}" name="Departamento_Notificacion"/>
    <tableColumn id="71" xr3:uid="{00000000-0010-0000-0000-000047000000}" name="Municipio_notific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6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6.28515625" customWidth="1"/>
    <col min="2" max="2" width="12.140625" customWidth="1"/>
    <col min="3" max="3" width="11.85546875" customWidth="1"/>
    <col min="4" max="4" width="11.7109375" customWidth="1"/>
    <col min="5" max="5" width="9.140625" customWidth="1"/>
    <col min="6" max="6" width="12.140625" customWidth="1"/>
    <col min="7" max="7" width="12.28515625" customWidth="1"/>
    <col min="8" max="8" width="9.140625" customWidth="1"/>
    <col min="9" max="9" width="12.42578125" customWidth="1"/>
    <col min="10" max="10" width="9.140625" customWidth="1"/>
    <col min="11" max="11" width="15.28515625" customWidth="1"/>
    <col min="12" max="12" width="16.28515625" customWidth="1"/>
    <col min="13" max="13" width="16" customWidth="1"/>
    <col min="14" max="14" width="9.140625" customWidth="1"/>
    <col min="15" max="15" width="14.7109375" customWidth="1"/>
    <col min="16" max="16" width="9.5703125" customWidth="1"/>
    <col min="17" max="17" width="12.140625" customWidth="1"/>
    <col min="18" max="18" width="11.7109375" customWidth="1"/>
    <col min="19" max="19" width="12.5703125" customWidth="1"/>
    <col min="20" max="20" width="14.140625" customWidth="1"/>
    <col min="21" max="21" width="10.140625" customWidth="1"/>
    <col min="22" max="23" width="15.140625" customWidth="1"/>
    <col min="24" max="24" width="16.140625" customWidth="1"/>
    <col min="25" max="25" width="15.28515625" customWidth="1"/>
    <col min="26" max="26" width="14.5703125" customWidth="1"/>
    <col min="27" max="27" width="11.42578125" customWidth="1"/>
    <col min="28" max="29" width="15" customWidth="1"/>
    <col min="30" max="30" width="17.42578125" customWidth="1"/>
    <col min="31" max="31" width="15.85546875" customWidth="1"/>
    <col min="32" max="32" width="14.7109375" customWidth="1"/>
    <col min="33" max="33" width="14.5703125" customWidth="1"/>
    <col min="34" max="34" width="13.42578125" customWidth="1"/>
    <col min="35" max="35" width="9.5703125" customWidth="1"/>
    <col min="36" max="36" width="15" customWidth="1"/>
    <col min="37" max="37" width="16" customWidth="1"/>
    <col min="38" max="38" width="15.7109375" customWidth="1"/>
    <col min="39" max="39" width="16.28515625" customWidth="1"/>
    <col min="40" max="40" width="15.85546875" customWidth="1"/>
    <col min="41" max="41" width="12" customWidth="1"/>
    <col min="42" max="42" width="10.28515625" customWidth="1"/>
    <col min="43" max="43" width="11" customWidth="1"/>
    <col min="44" max="44" width="12.140625" customWidth="1"/>
    <col min="45" max="46" width="11.7109375" customWidth="1"/>
    <col min="47" max="47" width="11.28515625" customWidth="1"/>
    <col min="48" max="48" width="10.28515625" customWidth="1"/>
    <col min="49" max="49" width="14.5703125" customWidth="1"/>
    <col min="50" max="50" width="10" customWidth="1"/>
    <col min="51" max="51" width="14.7109375" customWidth="1"/>
    <col min="52" max="52" width="11.28515625" customWidth="1"/>
    <col min="53" max="53" width="14.5703125" customWidth="1"/>
    <col min="54" max="54" width="15" customWidth="1"/>
    <col min="55" max="55" width="14.28515625" customWidth="1"/>
    <col min="56" max="56" width="14.85546875" customWidth="1"/>
    <col min="57" max="57" width="12.140625" customWidth="1"/>
    <col min="58" max="58" width="23.140625" customWidth="1"/>
    <col min="59" max="59" width="18.28515625" customWidth="1"/>
    <col min="60" max="60" width="16.5703125" customWidth="1"/>
    <col min="61" max="61" width="17.85546875" customWidth="1"/>
    <col min="62" max="62" width="18.28515625" customWidth="1"/>
    <col min="63" max="63" width="27.42578125" customWidth="1"/>
    <col min="64" max="64" width="23.28515625" customWidth="1"/>
    <col min="65" max="65" width="17.42578125" customWidth="1"/>
    <col min="66" max="66" width="27" customWidth="1"/>
    <col min="67" max="67" width="22.85546875" customWidth="1"/>
    <col min="68" max="68" width="28.7109375" customWidth="1"/>
    <col min="69" max="69" width="24.28515625" customWidth="1"/>
  </cols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x14ac:dyDescent="0.25">
      <c r="A2" t="str">
        <f>"165969"</f>
        <v>165969</v>
      </c>
      <c r="B2" t="str">
        <f t="shared" ref="B2:B26" si="0">"217"</f>
        <v>217</v>
      </c>
      <c r="C2" t="str">
        <f>"13/12/2025 12:00:00 a. m."</f>
        <v>13/12/2025 12:00:00 a. m.</v>
      </c>
      <c r="D2" t="str">
        <f>"48"</f>
        <v>48</v>
      </c>
      <c r="E2" t="str">
        <f t="shared" ref="E2:E26" si="1">"2025"</f>
        <v>2025</v>
      </c>
      <c r="F2" t="str">
        <f>"1100105597"</f>
        <v>1100105597</v>
      </c>
      <c r="G2" t="str">
        <f>"37"</f>
        <v>37</v>
      </c>
      <c r="H2" t="str">
        <f>"29"</f>
        <v>29</v>
      </c>
      <c r="I2" t="str">
        <f t="shared" ref="I2:I26" si="2">"1"</f>
        <v>1</v>
      </c>
      <c r="J2" t="str">
        <f>"F"</f>
        <v>F</v>
      </c>
      <c r="K2" t="str">
        <f t="shared" ref="K2:K7" si="3">"170"</f>
        <v>170</v>
      </c>
      <c r="L2" t="str">
        <f>"73"</f>
        <v>73</v>
      </c>
      <c r="M2" t="str">
        <f>"449"</f>
        <v>449</v>
      </c>
      <c r="N2" t="str">
        <f>"1"</f>
        <v>1</v>
      </c>
      <c r="O2" t="str">
        <f>"44150"</f>
        <v>44150</v>
      </c>
      <c r="P2" t="str">
        <f>"C"</f>
        <v>C</v>
      </c>
      <c r="Q2" t="str">
        <f>"EPS005"</f>
        <v>EPS005</v>
      </c>
      <c r="R2" t="str">
        <f t="shared" ref="R2:R26" si="4">"6"</f>
        <v>6</v>
      </c>
      <c r="S2" t="str">
        <f>""</f>
        <v/>
      </c>
      <c r="T2" t="str">
        <f t="shared" ref="T2:T26" si="5">"                                                                                                    "</f>
        <v xml:space="preserve">                                                                                                    </v>
      </c>
      <c r="U2" t="str">
        <f>"5         "</f>
        <v xml:space="preserve">5         </v>
      </c>
      <c r="V2" t="str">
        <f t="shared" ref="V2:Z15" si="6">"2"</f>
        <v>2</v>
      </c>
      <c r="W2" t="str">
        <f t="shared" si="6"/>
        <v>2</v>
      </c>
      <c r="X2" t="str">
        <f t="shared" si="6"/>
        <v>2</v>
      </c>
      <c r="Y2" t="str">
        <f t="shared" si="6"/>
        <v>2</v>
      </c>
      <c r="Z2" t="str">
        <f t="shared" si="6"/>
        <v>2</v>
      </c>
      <c r="AA2" t="str">
        <f t="shared" ref="AA2:AA26" si="7">"          "</f>
        <v xml:space="preserve">          </v>
      </c>
      <c r="AB2" t="str">
        <f t="shared" ref="AB2:AG11" si="8">"2"</f>
        <v>2</v>
      </c>
      <c r="AC2" t="str">
        <f t="shared" si="8"/>
        <v>2</v>
      </c>
      <c r="AD2" t="str">
        <f t="shared" si="8"/>
        <v>2</v>
      </c>
      <c r="AE2" t="str">
        <f t="shared" si="8"/>
        <v>2</v>
      </c>
      <c r="AF2" t="str">
        <f t="shared" si="8"/>
        <v>2</v>
      </c>
      <c r="AG2" t="str">
        <f t="shared" si="8"/>
        <v>2</v>
      </c>
      <c r="AH2" t="str">
        <f t="shared" ref="AH2:AH15" si="9">"1"</f>
        <v>1</v>
      </c>
      <c r="AI2" t="str">
        <f t="shared" ref="AI2:AI18" si="10">"1         "</f>
        <v xml:space="preserve">1         </v>
      </c>
      <c r="AJ2" t="str">
        <f t="shared" ref="AJ2:AJ26" si="11">"170"</f>
        <v>170</v>
      </c>
      <c r="AK2" t="str">
        <f>"11"</f>
        <v>11</v>
      </c>
      <c r="AL2" t="str">
        <f>"001"</f>
        <v>001</v>
      </c>
      <c r="AM2" t="str">
        <f>"11"</f>
        <v>11</v>
      </c>
      <c r="AN2" t="str">
        <f>"11001"</f>
        <v>11001</v>
      </c>
      <c r="AO2" t="str">
        <f>"13/12/2025 12:00:00 a. m."</f>
        <v>13/12/2025 12:00:00 a. m.</v>
      </c>
      <c r="AP2" t="str">
        <f>"29/11/2025 12:00:00 a. m."</f>
        <v>29/11/2025 12:00:00 a. m.</v>
      </c>
      <c r="AQ2" t="str">
        <f>"1"</f>
        <v>1</v>
      </c>
      <c r="AR2" t="str">
        <f>"1"</f>
        <v>1</v>
      </c>
      <c r="AS2" t="str">
        <f>"13/12/2025 12:00:00 a. m."</f>
        <v>13/12/2025 12:00:00 a. m.</v>
      </c>
      <c r="AT2" t="str">
        <f t="shared" ref="AT2:AT13" si="12">"1"</f>
        <v>1</v>
      </c>
      <c r="AU2" t="str">
        <f>""</f>
        <v/>
      </c>
      <c r="AV2" t="str">
        <f>"4"</f>
        <v>4</v>
      </c>
      <c r="AW2" t="str">
        <f>"13/08/1996 12:00:00 a. m."</f>
        <v>13/08/1996 12:00:00 a. m.</v>
      </c>
      <c r="AX2" t="str">
        <f>""</f>
        <v/>
      </c>
      <c r="AY2" t="str">
        <f>"20/01/2026 12:00:00 a. m."</f>
        <v>20/01/2026 12:00:00 a. m.</v>
      </c>
      <c r="AZ2" t="str">
        <f>"20/01/2026 12:00:00 a. m."</f>
        <v>20/01/2026 12:00:00 a. m.</v>
      </c>
      <c r="BA2" t="str">
        <f>""</f>
        <v/>
      </c>
      <c r="BB2" t="str">
        <f>""</f>
        <v/>
      </c>
      <c r="BC2" t="str">
        <f>""</f>
        <v/>
      </c>
      <c r="BD2" t="str">
        <f t="shared" ref="BD2:BE8" si="13">"1"</f>
        <v>1</v>
      </c>
      <c r="BE2" t="str">
        <f t="shared" si="13"/>
        <v>1</v>
      </c>
      <c r="BF2" t="str">
        <f t="shared" ref="BF2:BF8" si="14">"4         "</f>
        <v xml:space="preserve">4         </v>
      </c>
      <c r="BG2" t="str">
        <f t="shared" ref="BG2:BG8" si="15">"Confirmado por Clínica"</f>
        <v>Confirmado por Clínica</v>
      </c>
      <c r="BH2" t="str">
        <f>"CENTRO DE ATENCION EN SALUD CAFAM CLINICA SANTA BA"</f>
        <v>CENTRO DE ATENCION EN SALUD CAFAM CLINICA SANTA BA</v>
      </c>
      <c r="BI2" t="str">
        <f t="shared" ref="BI2:BI7" si="16">"COLOMBIA"</f>
        <v>COLOMBIA</v>
      </c>
      <c r="BJ2" t="str">
        <f t="shared" ref="BJ2:BJ26" si="17">"CHIKUNGUNYA"</f>
        <v>CHIKUNGUNYA</v>
      </c>
      <c r="BK2" t="str">
        <f>"TOLIMA"</f>
        <v>TOLIMA</v>
      </c>
      <c r="BL2" t="str">
        <f>"MELGAR"</f>
        <v>MELGAR</v>
      </c>
      <c r="BM2" t="str">
        <f t="shared" ref="BM2:BM26" si="18">"COLOMBIA"</f>
        <v>COLOMBIA</v>
      </c>
      <c r="BN2" t="str">
        <f t="shared" ref="BN2:BQ3" si="19">"BOGOTA"</f>
        <v>BOGOTA</v>
      </c>
      <c r="BO2" t="str">
        <f t="shared" si="19"/>
        <v>BOGOTA</v>
      </c>
      <c r="BP2" t="str">
        <f t="shared" si="19"/>
        <v>BOGOTA</v>
      </c>
      <c r="BQ2" t="str">
        <f t="shared" si="19"/>
        <v>BOGOTA</v>
      </c>
    </row>
    <row r="3" spans="1:69" x14ac:dyDescent="0.25">
      <c r="A3" t="str">
        <f>"165993"</f>
        <v>165993</v>
      </c>
      <c r="B3" t="str">
        <f t="shared" si="0"/>
        <v>217</v>
      </c>
      <c r="C3" t="str">
        <f>"15/04/2025 12:00:00 a. m."</f>
        <v>15/04/2025 12:00:00 a. m.</v>
      </c>
      <c r="D3" t="str">
        <f>"15"</f>
        <v>15</v>
      </c>
      <c r="E3" t="str">
        <f t="shared" si="1"/>
        <v>2025</v>
      </c>
      <c r="F3" t="str">
        <f>"1100106453"</f>
        <v>1100106453</v>
      </c>
      <c r="G3" t="str">
        <f>"01"</f>
        <v>01</v>
      </c>
      <c r="H3" t="str">
        <f>"32"</f>
        <v>32</v>
      </c>
      <c r="I3" t="str">
        <f t="shared" si="2"/>
        <v>1</v>
      </c>
      <c r="J3" t="str">
        <f>"M"</f>
        <v>M</v>
      </c>
      <c r="K3" t="str">
        <f t="shared" si="3"/>
        <v>170</v>
      </c>
      <c r="L3" t="str">
        <f>"73"</f>
        <v>73</v>
      </c>
      <c r="M3" t="str">
        <f>"217"</f>
        <v>217</v>
      </c>
      <c r="N3" t="str">
        <f>"3"</f>
        <v>3</v>
      </c>
      <c r="O3" t="str">
        <f>"99999.04"</f>
        <v>99999.04</v>
      </c>
      <c r="P3" t="str">
        <f>"C"</f>
        <v>C</v>
      </c>
      <c r="Q3" t="str">
        <f>"EPS008"</f>
        <v>EPS008</v>
      </c>
      <c r="R3" t="str">
        <f t="shared" si="4"/>
        <v>6</v>
      </c>
      <c r="S3" t="str">
        <f>""</f>
        <v/>
      </c>
      <c r="T3" t="str">
        <f t="shared" si="5"/>
        <v xml:space="preserve">                                                                                                    </v>
      </c>
      <c r="U3" t="str">
        <f>"1         "</f>
        <v xml:space="preserve">1         </v>
      </c>
      <c r="V3" t="str">
        <f t="shared" si="6"/>
        <v>2</v>
      </c>
      <c r="W3" t="str">
        <f t="shared" si="6"/>
        <v>2</v>
      </c>
      <c r="X3" t="str">
        <f t="shared" si="6"/>
        <v>2</v>
      </c>
      <c r="Y3" t="str">
        <f t="shared" si="6"/>
        <v>2</v>
      </c>
      <c r="Z3" t="str">
        <f t="shared" si="6"/>
        <v>2</v>
      </c>
      <c r="AA3" t="str">
        <f t="shared" si="7"/>
        <v xml:space="preserve">          </v>
      </c>
      <c r="AB3" t="str">
        <f t="shared" si="8"/>
        <v>2</v>
      </c>
      <c r="AC3" t="str">
        <f t="shared" si="8"/>
        <v>2</v>
      </c>
      <c r="AD3" t="str">
        <f t="shared" si="8"/>
        <v>2</v>
      </c>
      <c r="AE3" t="str">
        <f t="shared" si="8"/>
        <v>2</v>
      </c>
      <c r="AF3" t="str">
        <f t="shared" si="8"/>
        <v>2</v>
      </c>
      <c r="AG3" t="str">
        <f t="shared" si="8"/>
        <v>2</v>
      </c>
      <c r="AH3" t="str">
        <f t="shared" si="9"/>
        <v>1</v>
      </c>
      <c r="AI3" t="str">
        <f t="shared" si="10"/>
        <v xml:space="preserve">1         </v>
      </c>
      <c r="AJ3" t="str">
        <f t="shared" si="11"/>
        <v>170</v>
      </c>
      <c r="AK3" t="str">
        <f>"11"</f>
        <v>11</v>
      </c>
      <c r="AL3" t="str">
        <f>"001"</f>
        <v>001</v>
      </c>
      <c r="AM3" t="str">
        <f>"11"</f>
        <v>11</v>
      </c>
      <c r="AN3" t="str">
        <f>"11001"</f>
        <v>11001</v>
      </c>
      <c r="AO3" t="str">
        <f>"15/04/2025 12:00:00 a. m."</f>
        <v>15/04/2025 12:00:00 a. m.</v>
      </c>
      <c r="AP3" t="str">
        <f>"8/04/2025 12:00:00 a. m."</f>
        <v>8/04/2025 12:00:00 a. m.</v>
      </c>
      <c r="AQ3" t="str">
        <f>"1"</f>
        <v>1</v>
      </c>
      <c r="AR3" t="str">
        <f t="shared" ref="AR3:AR8" si="20">"2"</f>
        <v>2</v>
      </c>
      <c r="AS3" t="str">
        <f>""</f>
        <v/>
      </c>
      <c r="AT3" t="str">
        <f t="shared" si="12"/>
        <v>1</v>
      </c>
      <c r="AU3" t="str">
        <f>""</f>
        <v/>
      </c>
      <c r="AV3" t="str">
        <f>"4"</f>
        <v>4</v>
      </c>
      <c r="AW3" t="str">
        <f>"15/08/1992 12:00:00 a. m."</f>
        <v>15/08/1992 12:00:00 a. m.</v>
      </c>
      <c r="AX3" t="str">
        <f>""</f>
        <v/>
      </c>
      <c r="AY3" t="str">
        <f>"29/05/2025 12:00:00 a. m."</f>
        <v>29/05/2025 12:00:00 a. m.</v>
      </c>
      <c r="AZ3" t="str">
        <f>"29/05/2025 12:00:00 a. m."</f>
        <v>29/05/2025 12:00:00 a. m.</v>
      </c>
      <c r="BA3" t="str">
        <f>""</f>
        <v/>
      </c>
      <c r="BB3" t="str">
        <f>""</f>
        <v/>
      </c>
      <c r="BC3" t="str">
        <f>""</f>
        <v/>
      </c>
      <c r="BD3" t="str">
        <f t="shared" si="13"/>
        <v>1</v>
      </c>
      <c r="BE3" t="str">
        <f t="shared" si="13"/>
        <v>1</v>
      </c>
      <c r="BF3" t="str">
        <f t="shared" si="14"/>
        <v xml:space="preserve">4         </v>
      </c>
      <c r="BG3" t="str">
        <f t="shared" si="15"/>
        <v>Confirmado por Clínica</v>
      </c>
      <c r="BH3" t="str">
        <f>"CRUZ ROJA COLOMBIANA SECCIONAL CUNDINAMARCA Y BOGO"</f>
        <v>CRUZ ROJA COLOMBIANA SECCIONAL CUNDINAMARCA Y BOGO</v>
      </c>
      <c r="BI3" t="str">
        <f t="shared" si="16"/>
        <v>COLOMBIA</v>
      </c>
      <c r="BJ3" t="str">
        <f t="shared" si="17"/>
        <v>CHIKUNGUNYA</v>
      </c>
      <c r="BK3" t="str">
        <f>"TOLIMA"</f>
        <v>TOLIMA</v>
      </c>
      <c r="BL3" t="str">
        <f>"COYAIMA"</f>
        <v>COYAIMA</v>
      </c>
      <c r="BM3" t="str">
        <f t="shared" si="18"/>
        <v>COLOMBIA</v>
      </c>
      <c r="BN3" t="str">
        <f t="shared" si="19"/>
        <v>BOGOTA</v>
      </c>
      <c r="BO3" t="str">
        <f t="shared" si="19"/>
        <v>BOGOTA</v>
      </c>
      <c r="BP3" t="str">
        <f t="shared" si="19"/>
        <v>BOGOTA</v>
      </c>
      <c r="BQ3" t="str">
        <f t="shared" si="19"/>
        <v>BOGOTA</v>
      </c>
    </row>
    <row r="4" spans="1:69" x14ac:dyDescent="0.25">
      <c r="A4" t="str">
        <f>"165964"</f>
        <v>165964</v>
      </c>
      <c r="B4" t="str">
        <f t="shared" si="0"/>
        <v>217</v>
      </c>
      <c r="C4" t="str">
        <f>"4/08/2025 12:00:00 a. m."</f>
        <v>4/08/2025 12:00:00 a. m.</v>
      </c>
      <c r="D4" t="str">
        <f>"31"</f>
        <v>31</v>
      </c>
      <c r="E4" t="str">
        <f t="shared" si="1"/>
        <v>2025</v>
      </c>
      <c r="F4" t="str">
        <f>"8632000024"</f>
        <v>8632000024</v>
      </c>
      <c r="G4" t="str">
        <f>"01"</f>
        <v>01</v>
      </c>
      <c r="H4" t="str">
        <f>"23"</f>
        <v>23</v>
      </c>
      <c r="I4" t="str">
        <f t="shared" si="2"/>
        <v>1</v>
      </c>
      <c r="J4" t="str">
        <f>"F"</f>
        <v>F</v>
      </c>
      <c r="K4" t="str">
        <f t="shared" si="3"/>
        <v>170</v>
      </c>
      <c r="L4" t="str">
        <f>"86"</f>
        <v>86</v>
      </c>
      <c r="M4" t="str">
        <f>"320"</f>
        <v>320</v>
      </c>
      <c r="N4" t="str">
        <f>"1"</f>
        <v>1</v>
      </c>
      <c r="O4" t="str">
        <f>"99999.04"</f>
        <v>99999.04</v>
      </c>
      <c r="P4" t="str">
        <f>"S"</f>
        <v>S</v>
      </c>
      <c r="Q4" t="str">
        <f>"ESS118"</f>
        <v>ESS118</v>
      </c>
      <c r="R4" t="str">
        <f t="shared" si="4"/>
        <v>6</v>
      </c>
      <c r="S4" t="str">
        <f>""</f>
        <v/>
      </c>
      <c r="T4" t="str">
        <f t="shared" si="5"/>
        <v xml:space="preserve">                                                                                                    </v>
      </c>
      <c r="U4" t="str">
        <f>"1         "</f>
        <v xml:space="preserve">1         </v>
      </c>
      <c r="V4" t="str">
        <f t="shared" si="6"/>
        <v>2</v>
      </c>
      <c r="W4" t="str">
        <f t="shared" si="6"/>
        <v>2</v>
      </c>
      <c r="X4" t="str">
        <f t="shared" si="6"/>
        <v>2</v>
      </c>
      <c r="Y4" t="str">
        <f t="shared" si="6"/>
        <v>2</v>
      </c>
      <c r="Z4" t="str">
        <f t="shared" si="6"/>
        <v>2</v>
      </c>
      <c r="AA4" t="str">
        <f t="shared" si="7"/>
        <v xml:space="preserve">          </v>
      </c>
      <c r="AB4" t="str">
        <f t="shared" si="8"/>
        <v>2</v>
      </c>
      <c r="AC4" t="str">
        <f t="shared" si="8"/>
        <v>2</v>
      </c>
      <c r="AD4" t="str">
        <f t="shared" si="8"/>
        <v>2</v>
      </c>
      <c r="AE4" t="str">
        <f t="shared" si="8"/>
        <v>2</v>
      </c>
      <c r="AF4" t="str">
        <f t="shared" si="8"/>
        <v>2</v>
      </c>
      <c r="AG4" t="str">
        <f t="shared" si="8"/>
        <v>2</v>
      </c>
      <c r="AH4" t="str">
        <f t="shared" si="9"/>
        <v>1</v>
      </c>
      <c r="AI4" t="str">
        <f t="shared" si="10"/>
        <v xml:space="preserve">1         </v>
      </c>
      <c r="AJ4" t="str">
        <f t="shared" si="11"/>
        <v>170</v>
      </c>
      <c r="AK4" t="str">
        <f>"86"</f>
        <v>86</v>
      </c>
      <c r="AL4" t="str">
        <f>"320"</f>
        <v>320</v>
      </c>
      <c r="AM4" t="str">
        <f>"86"</f>
        <v>86</v>
      </c>
      <c r="AN4" t="str">
        <f>"86320"</f>
        <v>86320</v>
      </c>
      <c r="AO4" t="str">
        <f>"3/08/2025 12:00:00 a. m."</f>
        <v>3/08/2025 12:00:00 a. m.</v>
      </c>
      <c r="AP4" t="str">
        <f>"31/07/2025 12:00:00 a. m."</f>
        <v>31/07/2025 12:00:00 a. m.</v>
      </c>
      <c r="AQ4" t="str">
        <f>"4"</f>
        <v>4</v>
      </c>
      <c r="AR4" t="str">
        <f t="shared" si="20"/>
        <v>2</v>
      </c>
      <c r="AS4" t="str">
        <f>""</f>
        <v/>
      </c>
      <c r="AT4" t="str">
        <f t="shared" si="12"/>
        <v>1</v>
      </c>
      <c r="AU4" t="str">
        <f>""</f>
        <v/>
      </c>
      <c r="AV4" t="str">
        <f>"0"</f>
        <v>0</v>
      </c>
      <c r="AW4" t="str">
        <f>"8/08/2001 12:00:00 a. m."</f>
        <v>8/08/2001 12:00:00 a. m.</v>
      </c>
      <c r="AX4" t="str">
        <f>""</f>
        <v/>
      </c>
      <c r="AY4" t="str">
        <f>"4/08/2025 12:00:00 a. m."</f>
        <v>4/08/2025 12:00:00 a. m.</v>
      </c>
      <c r="AZ4" t="str">
        <f>"4/08/2025 12:00:00 a. m."</f>
        <v>4/08/2025 12:00:00 a. m.</v>
      </c>
      <c r="BA4" t="str">
        <f>""</f>
        <v/>
      </c>
      <c r="BB4" t="str">
        <f>""</f>
        <v/>
      </c>
      <c r="BC4" t="str">
        <f>""</f>
        <v/>
      </c>
      <c r="BD4" t="str">
        <f t="shared" si="13"/>
        <v>1</v>
      </c>
      <c r="BE4" t="str">
        <f t="shared" si="13"/>
        <v>1</v>
      </c>
      <c r="BF4" t="str">
        <f t="shared" si="14"/>
        <v xml:space="preserve">4         </v>
      </c>
      <c r="BG4" t="str">
        <f t="shared" si="15"/>
        <v>Confirmado por Clínica</v>
      </c>
      <c r="BH4" t="str">
        <f>"ESE HOSPITAL ORITO"</f>
        <v>ESE HOSPITAL ORITO</v>
      </c>
      <c r="BI4" t="str">
        <f t="shared" si="16"/>
        <v>COLOMBIA</v>
      </c>
      <c r="BJ4" t="str">
        <f t="shared" si="17"/>
        <v>CHIKUNGUNYA</v>
      </c>
      <c r="BK4" t="str">
        <f>"PUTUMAYO"</f>
        <v>PUTUMAYO</v>
      </c>
      <c r="BL4" t="str">
        <f>"ORITO"</f>
        <v>ORITO</v>
      </c>
      <c r="BM4" t="str">
        <f t="shared" si="18"/>
        <v>COLOMBIA</v>
      </c>
      <c r="BN4" t="str">
        <f>"PUTUMAYO"</f>
        <v>PUTUMAYO</v>
      </c>
      <c r="BO4" t="str">
        <f>"ORITO"</f>
        <v>ORITO</v>
      </c>
      <c r="BP4" t="str">
        <f>"PUTUMAYO"</f>
        <v>PUTUMAYO</v>
      </c>
      <c r="BQ4" t="str">
        <f>"ORITO"</f>
        <v>ORITO</v>
      </c>
    </row>
    <row r="5" spans="1:69" x14ac:dyDescent="0.25">
      <c r="A5" t="str">
        <f>"253065"</f>
        <v>253065</v>
      </c>
      <c r="B5" t="str">
        <f t="shared" si="0"/>
        <v>217</v>
      </c>
      <c r="C5" t="str">
        <f>"9/06/2025 12:00:00 a. m."</f>
        <v>9/06/2025 12:00:00 a. m.</v>
      </c>
      <c r="D5" t="str">
        <f>"21"</f>
        <v>21</v>
      </c>
      <c r="E5" t="str">
        <f t="shared" si="1"/>
        <v>2025</v>
      </c>
      <c r="F5" t="str">
        <f>"0500105568"</f>
        <v>0500105568</v>
      </c>
      <c r="G5" t="str">
        <f>"78"</f>
        <v>78</v>
      </c>
      <c r="H5" t="str">
        <f>"23"</f>
        <v>23</v>
      </c>
      <c r="I5" t="str">
        <f t="shared" si="2"/>
        <v>1</v>
      </c>
      <c r="J5" t="str">
        <f>"M"</f>
        <v>M</v>
      </c>
      <c r="K5" t="str">
        <f t="shared" si="3"/>
        <v>170</v>
      </c>
      <c r="L5" t="str">
        <f>"05"</f>
        <v>05</v>
      </c>
      <c r="M5" t="str">
        <f>"001"</f>
        <v>001</v>
      </c>
      <c r="N5" t="str">
        <f>"1"</f>
        <v>1</v>
      </c>
      <c r="O5" t="str">
        <f>"51429"</f>
        <v>51429</v>
      </c>
      <c r="P5" t="str">
        <f>"C"</f>
        <v>C</v>
      </c>
      <c r="Q5" t="str">
        <f>"EPS010"</f>
        <v>EPS010</v>
      </c>
      <c r="R5" t="str">
        <f t="shared" si="4"/>
        <v>6</v>
      </c>
      <c r="S5" t="str">
        <f>""</f>
        <v/>
      </c>
      <c r="T5" t="str">
        <f t="shared" si="5"/>
        <v xml:space="preserve">                                                                                                    </v>
      </c>
      <c r="U5" t="str">
        <f>"3         "</f>
        <v xml:space="preserve">3         </v>
      </c>
      <c r="V5" t="str">
        <f t="shared" si="6"/>
        <v>2</v>
      </c>
      <c r="W5" t="str">
        <f t="shared" si="6"/>
        <v>2</v>
      </c>
      <c r="X5" t="str">
        <f t="shared" si="6"/>
        <v>2</v>
      </c>
      <c r="Y5" t="str">
        <f t="shared" si="6"/>
        <v>2</v>
      </c>
      <c r="Z5" t="str">
        <f t="shared" si="6"/>
        <v>2</v>
      </c>
      <c r="AA5" t="str">
        <f t="shared" si="7"/>
        <v xml:space="preserve">          </v>
      </c>
      <c r="AB5" t="str">
        <f t="shared" si="8"/>
        <v>2</v>
      </c>
      <c r="AC5" t="str">
        <f t="shared" si="8"/>
        <v>2</v>
      </c>
      <c r="AD5" t="str">
        <f t="shared" si="8"/>
        <v>2</v>
      </c>
      <c r="AE5" t="str">
        <f t="shared" si="8"/>
        <v>2</v>
      </c>
      <c r="AF5" t="str">
        <f t="shared" si="8"/>
        <v>2</v>
      </c>
      <c r="AG5" t="str">
        <f t="shared" si="8"/>
        <v>2</v>
      </c>
      <c r="AH5" t="str">
        <f t="shared" si="9"/>
        <v>1</v>
      </c>
      <c r="AI5" t="str">
        <f t="shared" si="10"/>
        <v xml:space="preserve">1         </v>
      </c>
      <c r="AJ5" t="str">
        <f t="shared" si="11"/>
        <v>170</v>
      </c>
      <c r="AK5" t="str">
        <f>"05"</f>
        <v>05</v>
      </c>
      <c r="AL5" t="str">
        <f>"001"</f>
        <v>001</v>
      </c>
      <c r="AM5" t="str">
        <f>"05"</f>
        <v>05</v>
      </c>
      <c r="AN5" t="str">
        <f>"05001"</f>
        <v>05001</v>
      </c>
      <c r="AO5" t="str">
        <f>"26/05/2025 12:00:00 a. m."</f>
        <v>26/05/2025 12:00:00 a. m.</v>
      </c>
      <c r="AP5" t="str">
        <f>"24/05/2025 12:00:00 a. m."</f>
        <v>24/05/2025 12:00:00 a. m.</v>
      </c>
      <c r="AQ5" t="str">
        <f>"1"</f>
        <v>1</v>
      </c>
      <c r="AR5" t="str">
        <f t="shared" si="20"/>
        <v>2</v>
      </c>
      <c r="AS5" t="str">
        <f>""</f>
        <v/>
      </c>
      <c r="AT5" t="str">
        <f t="shared" si="12"/>
        <v>1</v>
      </c>
      <c r="AU5" t="str">
        <f>""</f>
        <v/>
      </c>
      <c r="AV5" t="str">
        <f>"4"</f>
        <v>4</v>
      </c>
      <c r="AW5" t="str">
        <f>"8/10/2001 12:00:00 a. m."</f>
        <v>8/10/2001 12:00:00 a. m.</v>
      </c>
      <c r="AX5" t="str">
        <f>""</f>
        <v/>
      </c>
      <c r="AY5" t="str">
        <f>"17/07/2025 12:00:00 a. m."</f>
        <v>17/07/2025 12:00:00 a. m.</v>
      </c>
      <c r="AZ5" t="str">
        <f>"17/07/2025 12:00:00 a. m."</f>
        <v>17/07/2025 12:00:00 a. m.</v>
      </c>
      <c r="BA5" t="str">
        <f>""</f>
        <v/>
      </c>
      <c r="BB5" t="str">
        <f>""</f>
        <v/>
      </c>
      <c r="BC5" t="str">
        <f>""</f>
        <v/>
      </c>
      <c r="BD5" t="str">
        <f t="shared" si="13"/>
        <v>1</v>
      </c>
      <c r="BE5" t="str">
        <f t="shared" si="13"/>
        <v>1</v>
      </c>
      <c r="BF5" t="str">
        <f t="shared" si="14"/>
        <v xml:space="preserve">4         </v>
      </c>
      <c r="BG5" t="str">
        <f t="shared" si="15"/>
        <v>Confirmado por Clínica</v>
      </c>
      <c r="BH5" t="str">
        <f>"CAJA DE COMPENSACION FAMILIAR DE ANTIOQUIA COMFAMA"</f>
        <v>CAJA DE COMPENSACION FAMILIAR DE ANTIOQUIA COMFAMA</v>
      </c>
      <c r="BI5" t="str">
        <f t="shared" si="16"/>
        <v>COLOMBIA</v>
      </c>
      <c r="BJ5" t="str">
        <f t="shared" si="17"/>
        <v>CHIKUNGUNYA</v>
      </c>
      <c r="BK5" t="str">
        <f>"ANTIOQUIA"</f>
        <v>ANTIOQUIA</v>
      </c>
      <c r="BL5" t="str">
        <f>"MEDELLIN"</f>
        <v>MEDELLIN</v>
      </c>
      <c r="BM5" t="str">
        <f t="shared" si="18"/>
        <v>COLOMBIA</v>
      </c>
      <c r="BN5" t="str">
        <f>"ANTIOQUIA"</f>
        <v>ANTIOQUIA</v>
      </c>
      <c r="BO5" t="str">
        <f>"MEDELLIN"</f>
        <v>MEDELLIN</v>
      </c>
      <c r="BP5" t="str">
        <f>"ANTIOQUIA"</f>
        <v>ANTIOQUIA</v>
      </c>
      <c r="BQ5" t="str">
        <f>"MEDELLIN"</f>
        <v>MEDELLIN</v>
      </c>
    </row>
    <row r="6" spans="1:69" x14ac:dyDescent="0.25">
      <c r="A6" t="str">
        <f>"486494"</f>
        <v>486494</v>
      </c>
      <c r="B6" t="str">
        <f t="shared" si="0"/>
        <v>217</v>
      </c>
      <c r="C6" t="str">
        <f>"13/12/2025 12:00:00 a. m."</f>
        <v>13/12/2025 12:00:00 a. m.</v>
      </c>
      <c r="D6" t="str">
        <f>"50"</f>
        <v>50</v>
      </c>
      <c r="E6" t="str">
        <f t="shared" si="1"/>
        <v>2025</v>
      </c>
      <c r="F6" t="str">
        <f>"7344901045"</f>
        <v>7344901045</v>
      </c>
      <c r="G6" t="str">
        <f>"01"</f>
        <v>01</v>
      </c>
      <c r="H6" t="str">
        <f>"31"</f>
        <v>31</v>
      </c>
      <c r="I6" t="str">
        <f t="shared" si="2"/>
        <v>1</v>
      </c>
      <c r="J6" t="str">
        <f>"F"</f>
        <v>F</v>
      </c>
      <c r="K6" t="str">
        <f t="shared" si="3"/>
        <v>170</v>
      </c>
      <c r="L6" t="str">
        <f>"73"</f>
        <v>73</v>
      </c>
      <c r="M6" t="str">
        <f>"449"</f>
        <v>449</v>
      </c>
      <c r="N6" t="str">
        <f>"2"</f>
        <v>2</v>
      </c>
      <c r="O6" t="str">
        <f>"22210"</f>
        <v>22210</v>
      </c>
      <c r="P6" t="str">
        <f>"C"</f>
        <v>C</v>
      </c>
      <c r="Q6" t="str">
        <f>"EPS037"</f>
        <v>EPS037</v>
      </c>
      <c r="R6" t="str">
        <f t="shared" si="4"/>
        <v>6</v>
      </c>
      <c r="S6" t="str">
        <f>""</f>
        <v/>
      </c>
      <c r="T6" t="str">
        <f t="shared" si="5"/>
        <v xml:space="preserve">                                                                                                    </v>
      </c>
      <c r="U6" t="str">
        <f>"3         "</f>
        <v xml:space="preserve">3         </v>
      </c>
      <c r="V6" t="str">
        <f t="shared" si="6"/>
        <v>2</v>
      </c>
      <c r="W6" t="str">
        <f t="shared" si="6"/>
        <v>2</v>
      </c>
      <c r="X6" t="str">
        <f t="shared" si="6"/>
        <v>2</v>
      </c>
      <c r="Y6" t="str">
        <f t="shared" si="6"/>
        <v>2</v>
      </c>
      <c r="Z6" t="str">
        <f t="shared" si="6"/>
        <v>2</v>
      </c>
      <c r="AA6" t="str">
        <f t="shared" si="7"/>
        <v xml:space="preserve">          </v>
      </c>
      <c r="AB6" t="str">
        <f t="shared" si="8"/>
        <v>2</v>
      </c>
      <c r="AC6" t="str">
        <f t="shared" si="8"/>
        <v>2</v>
      </c>
      <c r="AD6" t="str">
        <f t="shared" si="8"/>
        <v>2</v>
      </c>
      <c r="AE6" t="str">
        <f t="shared" si="8"/>
        <v>2</v>
      </c>
      <c r="AF6" t="str">
        <f t="shared" si="8"/>
        <v>2</v>
      </c>
      <c r="AG6" t="str">
        <f t="shared" si="8"/>
        <v>2</v>
      </c>
      <c r="AH6" t="str">
        <f t="shared" si="9"/>
        <v>1</v>
      </c>
      <c r="AI6" t="str">
        <f t="shared" si="10"/>
        <v xml:space="preserve">1         </v>
      </c>
      <c r="AJ6" t="str">
        <f t="shared" si="11"/>
        <v>170</v>
      </c>
      <c r="AK6" t="str">
        <f>"63"</f>
        <v>63</v>
      </c>
      <c r="AL6" t="str">
        <f>"001"</f>
        <v>001</v>
      </c>
      <c r="AM6" t="str">
        <f>"73"</f>
        <v>73</v>
      </c>
      <c r="AN6" t="str">
        <f>"73449"</f>
        <v>73449</v>
      </c>
      <c r="AO6" t="str">
        <f>"13/12/2025 12:00:00 a. m."</f>
        <v>13/12/2025 12:00:00 a. m.</v>
      </c>
      <c r="AP6" t="str">
        <f>"10/12/2025 12:00:00 a. m."</f>
        <v>10/12/2025 12:00:00 a. m.</v>
      </c>
      <c r="AQ6" t="str">
        <f>"1"</f>
        <v>1</v>
      </c>
      <c r="AR6" t="str">
        <f t="shared" si="20"/>
        <v>2</v>
      </c>
      <c r="AS6" t="str">
        <f>""</f>
        <v/>
      </c>
      <c r="AT6" t="str">
        <f t="shared" si="12"/>
        <v>1</v>
      </c>
      <c r="AU6" t="str">
        <f>""</f>
        <v/>
      </c>
      <c r="AV6" t="str">
        <f>"4"</f>
        <v>4</v>
      </c>
      <c r="AW6" t="str">
        <f>"24/07/1994 12:00:00 a. m."</f>
        <v>24/07/1994 12:00:00 a. m.</v>
      </c>
      <c r="AX6" t="str">
        <f>""</f>
        <v/>
      </c>
      <c r="AY6" t="str">
        <f>"15/12/2025 12:00:00 a. m."</f>
        <v>15/12/2025 12:00:00 a. m.</v>
      </c>
      <c r="AZ6" t="str">
        <f>"15/12/2025 12:00:00 a. m."</f>
        <v>15/12/2025 12:00:00 a. m.</v>
      </c>
      <c r="BA6" t="str">
        <f>""</f>
        <v/>
      </c>
      <c r="BB6" t="str">
        <f>""</f>
        <v/>
      </c>
      <c r="BC6" t="str">
        <f>""</f>
        <v/>
      </c>
      <c r="BD6" t="str">
        <f t="shared" si="13"/>
        <v>1</v>
      </c>
      <c r="BE6" t="str">
        <f t="shared" si="13"/>
        <v>1</v>
      </c>
      <c r="BF6" t="str">
        <f t="shared" si="14"/>
        <v xml:space="preserve">4         </v>
      </c>
      <c r="BG6" t="str">
        <f t="shared" si="15"/>
        <v>Confirmado por Clínica</v>
      </c>
      <c r="BH6" t="str">
        <f>"CENTRAL DE URGENCIAS LOUIS PASTEUR"</f>
        <v>CENTRAL DE URGENCIAS LOUIS PASTEUR</v>
      </c>
      <c r="BI6" t="str">
        <f t="shared" si="16"/>
        <v>COLOMBIA</v>
      </c>
      <c r="BJ6" t="str">
        <f t="shared" si="17"/>
        <v>CHIKUNGUNYA</v>
      </c>
      <c r="BK6" t="str">
        <f>"TOLIMA"</f>
        <v>TOLIMA</v>
      </c>
      <c r="BL6" t="str">
        <f>"MELGAR"</f>
        <v>MELGAR</v>
      </c>
      <c r="BM6" t="str">
        <f t="shared" si="18"/>
        <v>COLOMBIA</v>
      </c>
      <c r="BN6" t="str">
        <f>"QUINDIO"</f>
        <v>QUINDIO</v>
      </c>
      <c r="BO6" t="str">
        <f>"ARMENIA"</f>
        <v>ARMENIA</v>
      </c>
      <c r="BP6" t="str">
        <f>"TOLIMA"</f>
        <v>TOLIMA</v>
      </c>
      <c r="BQ6" t="str">
        <f>"MELGAR"</f>
        <v>MELGAR</v>
      </c>
    </row>
    <row r="7" spans="1:69" x14ac:dyDescent="0.25">
      <c r="A7" t="str">
        <f>"486496"</f>
        <v>486496</v>
      </c>
      <c r="B7" t="str">
        <f t="shared" si="0"/>
        <v>217</v>
      </c>
      <c r="C7" t="str">
        <f>"30/01/2025 12:00:00 a. m."</f>
        <v>30/01/2025 12:00:00 a. m.</v>
      </c>
      <c r="D7" t="str">
        <f>"04"</f>
        <v>04</v>
      </c>
      <c r="E7" t="str">
        <f t="shared" si="1"/>
        <v>2025</v>
      </c>
      <c r="F7" t="str">
        <f>"5451800372"</f>
        <v>5451800372</v>
      </c>
      <c r="G7" t="str">
        <f>"01"</f>
        <v>01</v>
      </c>
      <c r="H7" t="str">
        <f>"36"</f>
        <v>36</v>
      </c>
      <c r="I7" t="str">
        <f t="shared" si="2"/>
        <v>1</v>
      </c>
      <c r="J7" t="str">
        <f>"F"</f>
        <v>F</v>
      </c>
      <c r="K7" t="str">
        <f t="shared" si="3"/>
        <v>170</v>
      </c>
      <c r="L7" t="str">
        <f>"70"</f>
        <v>70</v>
      </c>
      <c r="M7" t="str">
        <f>"820"</f>
        <v>820</v>
      </c>
      <c r="N7" t="str">
        <f>"1"</f>
        <v>1</v>
      </c>
      <c r="O7" t="str">
        <f>"99999.04"</f>
        <v>99999.04</v>
      </c>
      <c r="P7" t="str">
        <f>"S"</f>
        <v>S</v>
      </c>
      <c r="Q7" t="str">
        <f>"EPSS05"</f>
        <v>EPSS05</v>
      </c>
      <c r="R7" t="str">
        <f t="shared" si="4"/>
        <v>6</v>
      </c>
      <c r="S7" t="str">
        <f>""</f>
        <v/>
      </c>
      <c r="T7" t="str">
        <f t="shared" si="5"/>
        <v xml:space="preserve">                                                                                                    </v>
      </c>
      <c r="U7" t="str">
        <f>"2         "</f>
        <v xml:space="preserve">2         </v>
      </c>
      <c r="V7" t="str">
        <f t="shared" si="6"/>
        <v>2</v>
      </c>
      <c r="W7" t="str">
        <f t="shared" si="6"/>
        <v>2</v>
      </c>
      <c r="X7" t="str">
        <f t="shared" si="6"/>
        <v>2</v>
      </c>
      <c r="Y7" t="str">
        <f t="shared" si="6"/>
        <v>2</v>
      </c>
      <c r="Z7" t="str">
        <f t="shared" si="6"/>
        <v>2</v>
      </c>
      <c r="AA7" t="str">
        <f t="shared" si="7"/>
        <v xml:space="preserve">          </v>
      </c>
      <c r="AB7" t="str">
        <f t="shared" si="8"/>
        <v>2</v>
      </c>
      <c r="AC7" t="str">
        <f t="shared" si="8"/>
        <v>2</v>
      </c>
      <c r="AD7" t="str">
        <f t="shared" si="8"/>
        <v>2</v>
      </c>
      <c r="AE7" t="str">
        <f t="shared" si="8"/>
        <v>2</v>
      </c>
      <c r="AF7" t="str">
        <f t="shared" si="8"/>
        <v>2</v>
      </c>
      <c r="AG7" t="str">
        <f t="shared" si="8"/>
        <v>2</v>
      </c>
      <c r="AH7" t="str">
        <f t="shared" si="9"/>
        <v>1</v>
      </c>
      <c r="AI7" t="str">
        <f t="shared" si="10"/>
        <v xml:space="preserve">1         </v>
      </c>
      <c r="AJ7" t="str">
        <f t="shared" si="11"/>
        <v>170</v>
      </c>
      <c r="AK7" t="str">
        <f>"54"</f>
        <v>54</v>
      </c>
      <c r="AL7" t="str">
        <f>"480"</f>
        <v>480</v>
      </c>
      <c r="AM7" t="str">
        <f>"54"</f>
        <v>54</v>
      </c>
      <c r="AN7" t="str">
        <f>"54518"</f>
        <v>54518</v>
      </c>
      <c r="AO7" t="str">
        <f>"30/01/2025 12:00:00 a. m."</f>
        <v>30/01/2025 12:00:00 a. m.</v>
      </c>
      <c r="AP7" t="str">
        <f>"24/01/2025 12:00:00 a. m."</f>
        <v>24/01/2025 12:00:00 a. m.</v>
      </c>
      <c r="AQ7" t="str">
        <f>"1"</f>
        <v>1</v>
      </c>
      <c r="AR7" t="str">
        <f t="shared" si="20"/>
        <v>2</v>
      </c>
      <c r="AS7" t="str">
        <f>""</f>
        <v/>
      </c>
      <c r="AT7" t="str">
        <f t="shared" si="12"/>
        <v>1</v>
      </c>
      <c r="AU7" t="str">
        <f>""</f>
        <v/>
      </c>
      <c r="AV7" t="str">
        <f>"4"</f>
        <v>4</v>
      </c>
      <c r="AW7" t="str">
        <f>"7/08/1988 12:00:00 a. m."</f>
        <v>7/08/1988 12:00:00 a. m.</v>
      </c>
      <c r="AX7" t="str">
        <f>""</f>
        <v/>
      </c>
      <c r="AY7" t="str">
        <f>"3/03/2025 12:00:00 a. m."</f>
        <v>3/03/2025 12:00:00 a. m.</v>
      </c>
      <c r="AZ7" t="str">
        <f>"3/03/2025 12:00:00 a. m."</f>
        <v>3/03/2025 12:00:00 a. m.</v>
      </c>
      <c r="BA7" t="str">
        <f>""</f>
        <v/>
      </c>
      <c r="BB7" t="str">
        <f>""</f>
        <v/>
      </c>
      <c r="BC7" t="str">
        <f>""</f>
        <v/>
      </c>
      <c r="BD7" t="str">
        <f t="shared" si="13"/>
        <v>1</v>
      </c>
      <c r="BE7" t="str">
        <f t="shared" si="13"/>
        <v>1</v>
      </c>
      <c r="BF7" t="str">
        <f t="shared" si="14"/>
        <v xml:space="preserve">4         </v>
      </c>
      <c r="BG7" t="str">
        <f t="shared" si="15"/>
        <v>Confirmado por Clínica</v>
      </c>
      <c r="BH7" t="str">
        <f>"ESE HOSPITAL SAN JUAN DE DIOS DE PAMPLONA"</f>
        <v>ESE HOSPITAL SAN JUAN DE DIOS DE PAMPLONA</v>
      </c>
      <c r="BI7" t="str">
        <f t="shared" si="16"/>
        <v>COLOMBIA</v>
      </c>
      <c r="BJ7" t="str">
        <f t="shared" si="17"/>
        <v>CHIKUNGUNYA</v>
      </c>
      <c r="BK7" t="str">
        <f>"SUCRE"</f>
        <v>SUCRE</v>
      </c>
      <c r="BL7" t="str">
        <f>"TOLU"</f>
        <v>TOLU</v>
      </c>
      <c r="BM7" t="str">
        <f t="shared" si="18"/>
        <v>COLOMBIA</v>
      </c>
      <c r="BN7" t="str">
        <f>"NORTE SANTANDER"</f>
        <v>NORTE SANTANDER</v>
      </c>
      <c r="BO7" t="str">
        <f>"MUTISCUA"</f>
        <v>MUTISCUA</v>
      </c>
      <c r="BP7" t="str">
        <f>"NORTE SANTANDER"</f>
        <v>NORTE SANTANDER</v>
      </c>
      <c r="BQ7" t="str">
        <f>"PAMPLONA"</f>
        <v>PAMPLONA</v>
      </c>
    </row>
    <row r="8" spans="1:69" x14ac:dyDescent="0.25">
      <c r="A8" t="str">
        <f>"165987"</f>
        <v>165987</v>
      </c>
      <c r="B8" t="str">
        <f t="shared" si="0"/>
        <v>217</v>
      </c>
      <c r="C8" t="str">
        <f>"15/11/2025 12:00:00 a. m."</f>
        <v>15/11/2025 12:00:00 a. m.</v>
      </c>
      <c r="D8" t="str">
        <f>"46"</f>
        <v>46</v>
      </c>
      <c r="E8" t="str">
        <f t="shared" si="1"/>
        <v>2025</v>
      </c>
      <c r="F8" t="str">
        <f>"2575401988"</f>
        <v>2575401988</v>
      </c>
      <c r="G8" t="str">
        <f>"01"</f>
        <v>01</v>
      </c>
      <c r="H8" t="str">
        <f>"48"</f>
        <v>48</v>
      </c>
      <c r="I8" t="str">
        <f t="shared" si="2"/>
        <v>1</v>
      </c>
      <c r="J8" t="str">
        <f>"F"</f>
        <v>F</v>
      </c>
      <c r="K8" t="str">
        <f>"192"</f>
        <v>192</v>
      </c>
      <c r="L8" t="str">
        <f>"01"</f>
        <v>01</v>
      </c>
      <c r="M8" t="str">
        <f>"192"</f>
        <v>192</v>
      </c>
      <c r="N8" t="str">
        <f>"1"</f>
        <v>1</v>
      </c>
      <c r="O8" t="str">
        <f>"96220"</f>
        <v>96220</v>
      </c>
      <c r="P8" t="str">
        <f>"S"</f>
        <v>S</v>
      </c>
      <c r="Q8" t="str">
        <f>"EPSS02"</f>
        <v>EPSS02</v>
      </c>
      <c r="R8" t="str">
        <f t="shared" si="4"/>
        <v>6</v>
      </c>
      <c r="S8" t="str">
        <f>""</f>
        <v/>
      </c>
      <c r="T8" t="str">
        <f t="shared" si="5"/>
        <v xml:space="preserve">                                                                                                    </v>
      </c>
      <c r="U8" t="str">
        <f>"2         "</f>
        <v xml:space="preserve">2         </v>
      </c>
      <c r="V8" t="str">
        <f t="shared" si="6"/>
        <v>2</v>
      </c>
      <c r="W8" t="str">
        <f t="shared" si="6"/>
        <v>2</v>
      </c>
      <c r="X8" t="str">
        <f t="shared" si="6"/>
        <v>2</v>
      </c>
      <c r="Y8" t="str">
        <f t="shared" si="6"/>
        <v>2</v>
      </c>
      <c r="Z8" t="str">
        <f t="shared" si="6"/>
        <v>2</v>
      </c>
      <c r="AA8" t="str">
        <f t="shared" si="7"/>
        <v xml:space="preserve">          </v>
      </c>
      <c r="AB8" t="str">
        <f t="shared" si="8"/>
        <v>2</v>
      </c>
      <c r="AC8" t="str">
        <f t="shared" si="8"/>
        <v>2</v>
      </c>
      <c r="AD8" t="str">
        <f t="shared" si="8"/>
        <v>2</v>
      </c>
      <c r="AE8" t="str">
        <f t="shared" si="8"/>
        <v>2</v>
      </c>
      <c r="AF8" t="str">
        <f t="shared" si="8"/>
        <v>2</v>
      </c>
      <c r="AG8" t="str">
        <f t="shared" si="8"/>
        <v>2</v>
      </c>
      <c r="AH8" t="str">
        <f t="shared" si="9"/>
        <v>1</v>
      </c>
      <c r="AI8" t="str">
        <f t="shared" si="10"/>
        <v xml:space="preserve">1         </v>
      </c>
      <c r="AJ8" t="str">
        <f t="shared" si="11"/>
        <v>170</v>
      </c>
      <c r="AK8" t="str">
        <f>"11"</f>
        <v>11</v>
      </c>
      <c r="AL8" t="str">
        <f>"001"</f>
        <v>001</v>
      </c>
      <c r="AM8" t="str">
        <f>"25"</f>
        <v>25</v>
      </c>
      <c r="AN8" t="str">
        <f>"25754"</f>
        <v>25754</v>
      </c>
      <c r="AO8" t="str">
        <f>"14/11/2025 12:00:00 a. m."</f>
        <v>14/11/2025 12:00:00 a. m.</v>
      </c>
      <c r="AP8" t="str">
        <f>"13/11/2025 12:00:00 a. m."</f>
        <v>13/11/2025 12:00:00 a. m.</v>
      </c>
      <c r="AQ8" t="str">
        <f>"4"</f>
        <v>4</v>
      </c>
      <c r="AR8" t="str">
        <f t="shared" si="20"/>
        <v>2</v>
      </c>
      <c r="AS8" t="str">
        <f>""</f>
        <v/>
      </c>
      <c r="AT8" t="str">
        <f t="shared" si="12"/>
        <v>1</v>
      </c>
      <c r="AU8" t="str">
        <f>""</f>
        <v/>
      </c>
      <c r="AV8" t="str">
        <f>"0"</f>
        <v>0</v>
      </c>
      <c r="AW8" t="str">
        <f>"18/03/1977 12:00:00 a. m."</f>
        <v>18/03/1977 12:00:00 a. m.</v>
      </c>
      <c r="AX8" t="str">
        <f>""</f>
        <v/>
      </c>
      <c r="AY8" t="str">
        <f>"15/11/2025 12:00:00 a. m."</f>
        <v>15/11/2025 12:00:00 a. m.</v>
      </c>
      <c r="AZ8" t="str">
        <f>"15/11/2025 12:00:00 a. m."</f>
        <v>15/11/2025 12:00:00 a. m.</v>
      </c>
      <c r="BA8" t="str">
        <f>""</f>
        <v/>
      </c>
      <c r="BB8" t="str">
        <f>""</f>
        <v/>
      </c>
      <c r="BC8" t="str">
        <f>""</f>
        <v/>
      </c>
      <c r="BD8" t="str">
        <f t="shared" si="13"/>
        <v>1</v>
      </c>
      <c r="BE8" t="str">
        <f t="shared" si="13"/>
        <v>1</v>
      </c>
      <c r="BF8" t="str">
        <f t="shared" si="14"/>
        <v xml:space="preserve">4         </v>
      </c>
      <c r="BG8" t="str">
        <f t="shared" si="15"/>
        <v>Confirmado por Clínica</v>
      </c>
      <c r="BH8" t="str">
        <f>"VIRREY SOLIS SOACHA"</f>
        <v>VIRREY SOLIS SOACHA</v>
      </c>
      <c r="BI8" t="str">
        <f>"CUBA"</f>
        <v>CUBA</v>
      </c>
      <c r="BJ8" t="str">
        <f t="shared" si="17"/>
        <v>CHIKUNGUNYA</v>
      </c>
      <c r="BK8" t="str">
        <f>"EXTERIOR"</f>
        <v>EXTERIOR</v>
      </c>
      <c r="BL8" t="str">
        <f>"EXTERIOR_CUBA"</f>
        <v>EXTERIOR_CUBA</v>
      </c>
      <c r="BM8" t="str">
        <f t="shared" si="18"/>
        <v>COLOMBIA</v>
      </c>
      <c r="BN8" t="str">
        <f>"BOGOTA"</f>
        <v>BOGOTA</v>
      </c>
      <c r="BO8" t="str">
        <f>"BOGOTA"</f>
        <v>BOGOTA</v>
      </c>
      <c r="BP8" t="str">
        <f>"CUNDINAMARCA"</f>
        <v>CUNDINAMARCA</v>
      </c>
      <c r="BQ8" t="str">
        <f>"SOACHA"</f>
        <v>SOACHA</v>
      </c>
    </row>
    <row r="9" spans="1:69" x14ac:dyDescent="0.25">
      <c r="A9" t="str">
        <f>"253061"</f>
        <v>253061</v>
      </c>
      <c r="B9" t="str">
        <f t="shared" si="0"/>
        <v>217</v>
      </c>
      <c r="C9" t="str">
        <f>"3/12/2025 12:00:00 a. m."</f>
        <v>3/12/2025 12:00:00 a. m.</v>
      </c>
      <c r="D9" t="str">
        <f>"48"</f>
        <v>48</v>
      </c>
      <c r="E9" t="str">
        <f t="shared" si="1"/>
        <v>2025</v>
      </c>
      <c r="F9" t="str">
        <f>"1100116938"</f>
        <v>1100116938</v>
      </c>
      <c r="G9" t="str">
        <f>"83"</f>
        <v>83</v>
      </c>
      <c r="H9" t="str">
        <f>"41"</f>
        <v>41</v>
      </c>
      <c r="I9" t="str">
        <f t="shared" si="2"/>
        <v>1</v>
      </c>
      <c r="J9" t="str">
        <f>"M"</f>
        <v>M</v>
      </c>
      <c r="K9" t="str">
        <f t="shared" ref="K9:K14" si="21">"170"</f>
        <v>170</v>
      </c>
      <c r="L9" t="str">
        <f>"68"</f>
        <v>68</v>
      </c>
      <c r="M9" t="str">
        <f>"720"</f>
        <v>720</v>
      </c>
      <c r="N9" t="str">
        <f>"1"</f>
        <v>1</v>
      </c>
      <c r="O9" t="str">
        <f>"01100"</f>
        <v>01100</v>
      </c>
      <c r="P9" t="str">
        <f>"P"</f>
        <v>P</v>
      </c>
      <c r="Q9" t="str">
        <f>"RES003"</f>
        <v>RES003</v>
      </c>
      <c r="R9" t="str">
        <f t="shared" si="4"/>
        <v>6</v>
      </c>
      <c r="S9" t="str">
        <f>""</f>
        <v/>
      </c>
      <c r="T9" t="str">
        <f t="shared" si="5"/>
        <v xml:space="preserve">                                                                                                    </v>
      </c>
      <c r="U9" t="str">
        <f>"3         "</f>
        <v xml:space="preserve">3         </v>
      </c>
      <c r="V9" t="str">
        <f t="shared" si="6"/>
        <v>2</v>
      </c>
      <c r="W9" t="str">
        <f t="shared" si="6"/>
        <v>2</v>
      </c>
      <c r="X9" t="str">
        <f t="shared" si="6"/>
        <v>2</v>
      </c>
      <c r="Y9" t="str">
        <f t="shared" si="6"/>
        <v>2</v>
      </c>
      <c r="Z9" t="str">
        <f t="shared" si="6"/>
        <v>2</v>
      </c>
      <c r="AA9" t="str">
        <f t="shared" si="7"/>
        <v xml:space="preserve">          </v>
      </c>
      <c r="AB9" t="str">
        <f t="shared" si="8"/>
        <v>2</v>
      </c>
      <c r="AC9" t="str">
        <f t="shared" si="8"/>
        <v>2</v>
      </c>
      <c r="AD9" t="str">
        <f t="shared" si="8"/>
        <v>2</v>
      </c>
      <c r="AE9" t="str">
        <f t="shared" si="8"/>
        <v>2</v>
      </c>
      <c r="AF9" t="str">
        <f t="shared" si="8"/>
        <v>2</v>
      </c>
      <c r="AG9" t="str">
        <f t="shared" si="8"/>
        <v>2</v>
      </c>
      <c r="AH9" t="str">
        <f t="shared" si="9"/>
        <v>1</v>
      </c>
      <c r="AI9" t="str">
        <f t="shared" si="10"/>
        <v xml:space="preserve">1         </v>
      </c>
      <c r="AJ9" t="str">
        <f t="shared" si="11"/>
        <v>170</v>
      </c>
      <c r="AK9" t="str">
        <f>"11"</f>
        <v>11</v>
      </c>
      <c r="AL9" t="str">
        <f>"001"</f>
        <v>001</v>
      </c>
      <c r="AM9" t="str">
        <f>"11"</f>
        <v>11</v>
      </c>
      <c r="AN9" t="str">
        <f>"11001"</f>
        <v>11001</v>
      </c>
      <c r="AO9" t="str">
        <f>"2/12/2025 12:00:00 a. m."</f>
        <v>2/12/2025 12:00:00 a. m.</v>
      </c>
      <c r="AP9" t="str">
        <f>"25/11/2025 12:00:00 a. m."</f>
        <v>25/11/2025 12:00:00 a. m.</v>
      </c>
      <c r="AQ9" t="str">
        <f>"1"</f>
        <v>1</v>
      </c>
      <c r="AR9" t="str">
        <f>"1"</f>
        <v>1</v>
      </c>
      <c r="AS9" t="str">
        <f>"2/12/2025 12:00:00 a. m."</f>
        <v>2/12/2025 12:00:00 a. m.</v>
      </c>
      <c r="AT9" t="str">
        <f t="shared" si="12"/>
        <v>1</v>
      </c>
      <c r="AU9" t="str">
        <f>""</f>
        <v/>
      </c>
      <c r="AV9" t="str">
        <f>"7"</f>
        <v>7</v>
      </c>
      <c r="AW9" t="str">
        <f>"27/09/1984 12:00:00 a. m."</f>
        <v>27/09/1984 12:00:00 a. m.</v>
      </c>
      <c r="AX9" t="str">
        <f>""</f>
        <v/>
      </c>
      <c r="AY9" t="str">
        <f>"11/02/2026 12:00:00 a. m."</f>
        <v>11/02/2026 12:00:00 a. m.</v>
      </c>
      <c r="AZ9" t="str">
        <f>"11/02/2026 12:00:00 a. m."</f>
        <v>11/02/2026 12:00:00 a. m.</v>
      </c>
      <c r="BA9" t="str">
        <f>""</f>
        <v/>
      </c>
      <c r="BB9" t="str">
        <f>""</f>
        <v/>
      </c>
      <c r="BC9" t="str">
        <f>""</f>
        <v/>
      </c>
      <c r="BD9" t="str">
        <f>"0"</f>
        <v>0</v>
      </c>
      <c r="BE9" t="str">
        <f t="shared" ref="BE9:BE26" si="22">"1"</f>
        <v>1</v>
      </c>
      <c r="BF9" t="str">
        <f>"1         "</f>
        <v xml:space="preserve">1         </v>
      </c>
      <c r="BG9" t="str">
        <f>"Sospechoso"</f>
        <v>Sospechoso</v>
      </c>
      <c r="BH9" t="str">
        <f>"HOSPITAL MILITAR CENTRAL"</f>
        <v>HOSPITAL MILITAR CENTRAL</v>
      </c>
      <c r="BI9" t="str">
        <f t="shared" ref="BI9:BI14" si="23">"COLOMBIA"</f>
        <v>COLOMBIA</v>
      </c>
      <c r="BJ9" t="str">
        <f t="shared" si="17"/>
        <v>CHIKUNGUNYA</v>
      </c>
      <c r="BK9" t="str">
        <f>"SANTANDER"</f>
        <v>SANTANDER</v>
      </c>
      <c r="BL9" t="str">
        <f>"SANTA HELENA DEL OPON"</f>
        <v>SANTA HELENA DEL OPON</v>
      </c>
      <c r="BM9" t="str">
        <f t="shared" si="18"/>
        <v>COLOMBIA</v>
      </c>
      <c r="BN9" t="str">
        <f>"BOGOTA"</f>
        <v>BOGOTA</v>
      </c>
      <c r="BO9" t="str">
        <f>"BOGOTA"</f>
        <v>BOGOTA</v>
      </c>
      <c r="BP9" t="str">
        <f>"BOGOTA"</f>
        <v>BOGOTA</v>
      </c>
      <c r="BQ9" t="str">
        <f>"BOGOTA"</f>
        <v>BOGOTA</v>
      </c>
    </row>
    <row r="10" spans="1:69" x14ac:dyDescent="0.25">
      <c r="A10" t="str">
        <f>"486495"</f>
        <v>486495</v>
      </c>
      <c r="B10" t="str">
        <f t="shared" si="0"/>
        <v>217</v>
      </c>
      <c r="C10" t="str">
        <f>"20/10/2025 12:00:00 a. m."</f>
        <v>20/10/2025 12:00:00 a. m.</v>
      </c>
      <c r="D10" t="str">
        <f>"41"</f>
        <v>41</v>
      </c>
      <c r="E10" t="str">
        <f t="shared" si="1"/>
        <v>2025</v>
      </c>
      <c r="F10" t="str">
        <f>"5424501020"</f>
        <v>5424501020</v>
      </c>
      <c r="G10" t="str">
        <f>"21"</f>
        <v>21</v>
      </c>
      <c r="H10" t="str">
        <f>"29"</f>
        <v>29</v>
      </c>
      <c r="I10" t="str">
        <f t="shared" si="2"/>
        <v>1</v>
      </c>
      <c r="J10" t="str">
        <f>"M"</f>
        <v>M</v>
      </c>
      <c r="K10" t="str">
        <f t="shared" si="21"/>
        <v>170</v>
      </c>
      <c r="L10" t="str">
        <f>"54"</f>
        <v>54</v>
      </c>
      <c r="M10" t="str">
        <f>"245"</f>
        <v>245</v>
      </c>
      <c r="N10" t="str">
        <f>"2"</f>
        <v>2</v>
      </c>
      <c r="O10" t="str">
        <f>"61111"</f>
        <v>61111</v>
      </c>
      <c r="P10" t="str">
        <f>"S"</f>
        <v>S</v>
      </c>
      <c r="Q10" t="str">
        <f>"CCF050"</f>
        <v>CCF050</v>
      </c>
      <c r="R10" t="str">
        <f t="shared" si="4"/>
        <v>6</v>
      </c>
      <c r="S10" t="str">
        <f>""</f>
        <v/>
      </c>
      <c r="T10" t="str">
        <f t="shared" si="5"/>
        <v xml:space="preserve">                                                                                                    </v>
      </c>
      <c r="U10" t="str">
        <f>"1         "</f>
        <v xml:space="preserve">1         </v>
      </c>
      <c r="V10" t="str">
        <f t="shared" si="6"/>
        <v>2</v>
      </c>
      <c r="W10" t="str">
        <f t="shared" si="6"/>
        <v>2</v>
      </c>
      <c r="X10" t="str">
        <f t="shared" si="6"/>
        <v>2</v>
      </c>
      <c r="Y10" t="str">
        <f t="shared" si="6"/>
        <v>2</v>
      </c>
      <c r="Z10" t="str">
        <f t="shared" si="6"/>
        <v>2</v>
      </c>
      <c r="AA10" t="str">
        <f t="shared" si="7"/>
        <v xml:space="preserve">          </v>
      </c>
      <c r="AB10" t="str">
        <f t="shared" si="8"/>
        <v>2</v>
      </c>
      <c r="AC10" t="str">
        <f t="shared" si="8"/>
        <v>2</v>
      </c>
      <c r="AD10" t="str">
        <f t="shared" si="8"/>
        <v>2</v>
      </c>
      <c r="AE10" t="str">
        <f t="shared" si="8"/>
        <v>2</v>
      </c>
      <c r="AF10" t="str">
        <f t="shared" si="8"/>
        <v>2</v>
      </c>
      <c r="AG10" t="str">
        <f t="shared" si="8"/>
        <v>2</v>
      </c>
      <c r="AH10" t="str">
        <f t="shared" si="9"/>
        <v>1</v>
      </c>
      <c r="AI10" t="str">
        <f t="shared" si="10"/>
        <v xml:space="preserve">1         </v>
      </c>
      <c r="AJ10" t="str">
        <f t="shared" si="11"/>
        <v>170</v>
      </c>
      <c r="AK10" t="str">
        <f>"54"</f>
        <v>54</v>
      </c>
      <c r="AL10" t="str">
        <f>"245"</f>
        <v>245</v>
      </c>
      <c r="AM10" t="str">
        <f>"54"</f>
        <v>54</v>
      </c>
      <c r="AN10" t="str">
        <f>"54245"</f>
        <v>54245</v>
      </c>
      <c r="AO10" t="str">
        <f>"20/10/2025 12:00:00 a. m."</f>
        <v>20/10/2025 12:00:00 a. m.</v>
      </c>
      <c r="AP10" t="str">
        <f>"10/10/2025 12:00:00 a. m."</f>
        <v>10/10/2025 12:00:00 a. m.</v>
      </c>
      <c r="AQ10" t="str">
        <f>"1"</f>
        <v>1</v>
      </c>
      <c r="AR10" t="str">
        <f>"2"</f>
        <v>2</v>
      </c>
      <c r="AS10" t="str">
        <f>""</f>
        <v/>
      </c>
      <c r="AT10" t="str">
        <f t="shared" si="12"/>
        <v>1</v>
      </c>
      <c r="AU10" t="str">
        <f>""</f>
        <v/>
      </c>
      <c r="AV10" t="str">
        <f>"4"</f>
        <v>4</v>
      </c>
      <c r="AW10" t="str">
        <f>"17/12/1995 12:00:00 a. m."</f>
        <v>17/12/1995 12:00:00 a. m.</v>
      </c>
      <c r="AX10" t="str">
        <f>""</f>
        <v/>
      </c>
      <c r="AY10" t="str">
        <f>"29/10/2025 12:00:00 a. m."</f>
        <v>29/10/2025 12:00:00 a. m.</v>
      </c>
      <c r="AZ10" t="str">
        <f>"29/10/2025 12:00:00 a. m."</f>
        <v>29/10/2025 12:00:00 a. m.</v>
      </c>
      <c r="BA10" t="str">
        <f>""</f>
        <v/>
      </c>
      <c r="BB10" t="str">
        <f>""</f>
        <v/>
      </c>
      <c r="BC10" t="str">
        <f>""</f>
        <v/>
      </c>
      <c r="BD10" t="str">
        <f>"1"</f>
        <v>1</v>
      </c>
      <c r="BE10" t="str">
        <f t="shared" si="22"/>
        <v>1</v>
      </c>
      <c r="BF10" t="str">
        <f>"4         "</f>
        <v xml:space="preserve">4         </v>
      </c>
      <c r="BG10" t="str">
        <f>"Confirmado por Clínica"</f>
        <v>Confirmado por Clínica</v>
      </c>
      <c r="BH10" t="str">
        <f>"IPS GUAMALITO"</f>
        <v>IPS GUAMALITO</v>
      </c>
      <c r="BI10" t="str">
        <f t="shared" si="23"/>
        <v>COLOMBIA</v>
      </c>
      <c r="BJ10" t="str">
        <f t="shared" si="17"/>
        <v>CHIKUNGUNYA</v>
      </c>
      <c r="BK10" t="str">
        <f>"NORTE SANTANDER"</f>
        <v>NORTE SANTANDER</v>
      </c>
      <c r="BL10" t="str">
        <f>"EL CARMEN"</f>
        <v>EL CARMEN</v>
      </c>
      <c r="BM10" t="str">
        <f t="shared" si="18"/>
        <v>COLOMBIA</v>
      </c>
      <c r="BN10" t="str">
        <f>"NORTE SANTANDER"</f>
        <v>NORTE SANTANDER</v>
      </c>
      <c r="BO10" t="str">
        <f>"EL CARMEN"</f>
        <v>EL CARMEN</v>
      </c>
      <c r="BP10" t="str">
        <f>"NORTE SANTANDER"</f>
        <v>NORTE SANTANDER</v>
      </c>
      <c r="BQ10" t="str">
        <f>"EL CARMEN"</f>
        <v>EL CARMEN</v>
      </c>
    </row>
    <row r="11" spans="1:69" x14ac:dyDescent="0.25">
      <c r="A11" t="str">
        <f>"165966"</f>
        <v>165966</v>
      </c>
      <c r="B11" t="str">
        <f t="shared" si="0"/>
        <v>217</v>
      </c>
      <c r="C11" t="str">
        <f>"30/11/2025 12:00:00 a. m."</f>
        <v>30/11/2025 12:00:00 a. m.</v>
      </c>
      <c r="D11" t="str">
        <f>"48"</f>
        <v>48</v>
      </c>
      <c r="E11" t="str">
        <f t="shared" si="1"/>
        <v>2025</v>
      </c>
      <c r="F11" t="str">
        <f>"0807800158"</f>
        <v>0807800158</v>
      </c>
      <c r="G11" t="str">
        <f>"01"</f>
        <v>01</v>
      </c>
      <c r="H11" t="str">
        <f>"23"</f>
        <v>23</v>
      </c>
      <c r="I11" t="str">
        <f t="shared" si="2"/>
        <v>1</v>
      </c>
      <c r="J11" t="str">
        <f>"M"</f>
        <v>M</v>
      </c>
      <c r="K11" t="str">
        <f t="shared" si="21"/>
        <v>170</v>
      </c>
      <c r="L11" t="str">
        <f>"08"</f>
        <v>08</v>
      </c>
      <c r="M11" t="str">
        <f>"078"</f>
        <v>078</v>
      </c>
      <c r="N11" t="str">
        <f t="shared" ref="N11:N20" si="24">"1"</f>
        <v>1</v>
      </c>
      <c r="O11" t="str">
        <f>"33432"</f>
        <v>33432</v>
      </c>
      <c r="P11" t="str">
        <f>"S"</f>
        <v>S</v>
      </c>
      <c r="Q11" t="str">
        <f>"ESS024"</f>
        <v>ESS024</v>
      </c>
      <c r="R11" t="str">
        <f t="shared" si="4"/>
        <v>6</v>
      </c>
      <c r="S11" t="str">
        <f>""</f>
        <v/>
      </c>
      <c r="T11" t="str">
        <f t="shared" si="5"/>
        <v xml:space="preserve">                                                                                                    </v>
      </c>
      <c r="U11" t="str">
        <f>"1         "</f>
        <v xml:space="preserve">1         </v>
      </c>
      <c r="V11" t="str">
        <f t="shared" si="6"/>
        <v>2</v>
      </c>
      <c r="W11" t="str">
        <f t="shared" si="6"/>
        <v>2</v>
      </c>
      <c r="X11" t="str">
        <f t="shared" si="6"/>
        <v>2</v>
      </c>
      <c r="Y11" t="str">
        <f t="shared" si="6"/>
        <v>2</v>
      </c>
      <c r="Z11" t="str">
        <f t="shared" si="6"/>
        <v>2</v>
      </c>
      <c r="AA11" t="str">
        <f t="shared" si="7"/>
        <v xml:space="preserve">          </v>
      </c>
      <c r="AB11" t="str">
        <f t="shared" si="8"/>
        <v>2</v>
      </c>
      <c r="AC11" t="str">
        <f t="shared" si="8"/>
        <v>2</v>
      </c>
      <c r="AD11" t="str">
        <f t="shared" si="8"/>
        <v>2</v>
      </c>
      <c r="AE11" t="str">
        <f t="shared" si="8"/>
        <v>2</v>
      </c>
      <c r="AF11" t="str">
        <f t="shared" si="8"/>
        <v>2</v>
      </c>
      <c r="AG11" t="str">
        <f t="shared" si="8"/>
        <v>2</v>
      </c>
      <c r="AH11" t="str">
        <f t="shared" si="9"/>
        <v>1</v>
      </c>
      <c r="AI11" t="str">
        <f t="shared" si="10"/>
        <v xml:space="preserve">1         </v>
      </c>
      <c r="AJ11" t="str">
        <f t="shared" si="11"/>
        <v>170</v>
      </c>
      <c r="AK11" t="str">
        <f>"08"</f>
        <v>08</v>
      </c>
      <c r="AL11" t="str">
        <f>"078"</f>
        <v>078</v>
      </c>
      <c r="AM11" t="str">
        <f>"08"</f>
        <v>08</v>
      </c>
      <c r="AN11" t="str">
        <f>"08078"</f>
        <v>08078</v>
      </c>
      <c r="AO11" t="str">
        <f>"28/11/2025 12:00:00 a. m."</f>
        <v>28/11/2025 12:00:00 a. m.</v>
      </c>
      <c r="AP11" t="str">
        <f>"25/11/2025 12:00:00 a. m."</f>
        <v>25/11/2025 12:00:00 a. m.</v>
      </c>
      <c r="AQ11" t="str">
        <f>"1"</f>
        <v>1</v>
      </c>
      <c r="AR11" t="str">
        <f>"2"</f>
        <v>2</v>
      </c>
      <c r="AS11" t="str">
        <f>""</f>
        <v/>
      </c>
      <c r="AT11" t="str">
        <f t="shared" si="12"/>
        <v>1</v>
      </c>
      <c r="AU11" t="str">
        <f>""</f>
        <v/>
      </c>
      <c r="AV11" t="str">
        <f>"4"</f>
        <v>4</v>
      </c>
      <c r="AW11" t="str">
        <f>"24/05/2002 12:00:00 a. m."</f>
        <v>24/05/2002 12:00:00 a. m.</v>
      </c>
      <c r="AX11" t="str">
        <f>""</f>
        <v/>
      </c>
      <c r="AY11" t="str">
        <f>"3/12/2025 12:00:00 a. m."</f>
        <v>3/12/2025 12:00:00 a. m.</v>
      </c>
      <c r="AZ11" t="str">
        <f>"3/12/2025 12:00:00 a. m."</f>
        <v>3/12/2025 12:00:00 a. m.</v>
      </c>
      <c r="BA11" t="str">
        <f>""</f>
        <v/>
      </c>
      <c r="BB11" t="str">
        <f>""</f>
        <v/>
      </c>
      <c r="BC11" t="str">
        <f>""</f>
        <v/>
      </c>
      <c r="BD11" t="str">
        <f>"1"</f>
        <v>1</v>
      </c>
      <c r="BE11" t="str">
        <f t="shared" si="22"/>
        <v>1</v>
      </c>
      <c r="BF11" t="str">
        <f>"4         "</f>
        <v xml:space="preserve">4         </v>
      </c>
      <c r="BG11" t="str">
        <f>"Confirmado por Clínica"</f>
        <v>Confirmado por Clínica</v>
      </c>
      <c r="BH11" t="str">
        <f>"ESE HOSPITAL DE BARANOA"</f>
        <v>ESE HOSPITAL DE BARANOA</v>
      </c>
      <c r="BI11" t="str">
        <f t="shared" si="23"/>
        <v>COLOMBIA</v>
      </c>
      <c r="BJ11" t="str">
        <f t="shared" si="17"/>
        <v>CHIKUNGUNYA</v>
      </c>
      <c r="BK11" t="str">
        <f>"ATLANTICO"</f>
        <v>ATLANTICO</v>
      </c>
      <c r="BL11" t="str">
        <f>"BARANOA"</f>
        <v>BARANOA</v>
      </c>
      <c r="BM11" t="str">
        <f t="shared" si="18"/>
        <v>COLOMBIA</v>
      </c>
      <c r="BN11" t="str">
        <f>"ATLANTICO"</f>
        <v>ATLANTICO</v>
      </c>
      <c r="BO11" t="str">
        <f>"BARANOA"</f>
        <v>BARANOA</v>
      </c>
      <c r="BP11" t="str">
        <f>"ATLANTICO"</f>
        <v>ATLANTICO</v>
      </c>
      <c r="BQ11" t="str">
        <f>"BARANOA"</f>
        <v>BARANOA</v>
      </c>
    </row>
    <row r="12" spans="1:69" x14ac:dyDescent="0.25">
      <c r="A12" t="str">
        <f>"486595"</f>
        <v>486595</v>
      </c>
      <c r="B12" t="str">
        <f t="shared" si="0"/>
        <v>217</v>
      </c>
      <c r="C12" t="str">
        <f>"9/11/2025 12:00:00 a. m."</f>
        <v>9/11/2025 12:00:00 a. m.</v>
      </c>
      <c r="D12" t="str">
        <f>"43"</f>
        <v>43</v>
      </c>
      <c r="E12" t="str">
        <f t="shared" si="1"/>
        <v>2025</v>
      </c>
      <c r="F12" t="str">
        <f>"1100109456"</f>
        <v>1100109456</v>
      </c>
      <c r="G12" t="str">
        <f>"01"</f>
        <v>01</v>
      </c>
      <c r="H12" t="str">
        <f>"50"</f>
        <v>50</v>
      </c>
      <c r="I12" t="str">
        <f t="shared" si="2"/>
        <v>1</v>
      </c>
      <c r="J12" t="str">
        <f>"M"</f>
        <v>M</v>
      </c>
      <c r="K12" t="str">
        <f t="shared" si="21"/>
        <v>170</v>
      </c>
      <c r="L12" t="str">
        <f>"25"</f>
        <v>25</v>
      </c>
      <c r="M12" t="str">
        <f>"035"</f>
        <v>035</v>
      </c>
      <c r="N12" t="str">
        <f t="shared" si="24"/>
        <v>1</v>
      </c>
      <c r="O12" t="str">
        <f>"31199"</f>
        <v>31199</v>
      </c>
      <c r="P12" t="str">
        <f>"C"</f>
        <v>C</v>
      </c>
      <c r="Q12" t="str">
        <f>"EPS010"</f>
        <v>EPS010</v>
      </c>
      <c r="R12" t="str">
        <f t="shared" si="4"/>
        <v>6</v>
      </c>
      <c r="S12" t="str">
        <f>""</f>
        <v/>
      </c>
      <c r="T12" t="str">
        <f t="shared" si="5"/>
        <v xml:space="preserve">                                                                                                    </v>
      </c>
      <c r="U12" t="str">
        <f>"2         "</f>
        <v xml:space="preserve">2         </v>
      </c>
      <c r="V12" t="str">
        <f t="shared" si="6"/>
        <v>2</v>
      </c>
      <c r="W12" t="str">
        <f t="shared" si="6"/>
        <v>2</v>
      </c>
      <c r="X12" t="str">
        <f t="shared" si="6"/>
        <v>2</v>
      </c>
      <c r="Y12" t="str">
        <f t="shared" si="6"/>
        <v>2</v>
      </c>
      <c r="Z12" t="str">
        <f t="shared" si="6"/>
        <v>2</v>
      </c>
      <c r="AA12" t="str">
        <f t="shared" si="7"/>
        <v xml:space="preserve">          </v>
      </c>
      <c r="AB12" t="str">
        <f t="shared" ref="AB12:AG26" si="25">"2"</f>
        <v>2</v>
      </c>
      <c r="AC12" t="str">
        <f t="shared" si="25"/>
        <v>2</v>
      </c>
      <c r="AD12" t="str">
        <f t="shared" si="25"/>
        <v>2</v>
      </c>
      <c r="AE12" t="str">
        <f t="shared" si="25"/>
        <v>2</v>
      </c>
      <c r="AF12" t="str">
        <f t="shared" si="25"/>
        <v>2</v>
      </c>
      <c r="AG12" t="str">
        <f t="shared" si="25"/>
        <v>2</v>
      </c>
      <c r="AH12" t="str">
        <f t="shared" si="9"/>
        <v>1</v>
      </c>
      <c r="AI12" t="str">
        <f t="shared" si="10"/>
        <v xml:space="preserve">1         </v>
      </c>
      <c r="AJ12" t="str">
        <f t="shared" si="11"/>
        <v>170</v>
      </c>
      <c r="AK12" t="str">
        <f>"11"</f>
        <v>11</v>
      </c>
      <c r="AL12" t="str">
        <f>"001"</f>
        <v>001</v>
      </c>
      <c r="AM12" t="str">
        <f>"11"</f>
        <v>11</v>
      </c>
      <c r="AN12" t="str">
        <f>"11001"</f>
        <v>11001</v>
      </c>
      <c r="AO12" t="str">
        <f>"8/11/2025 12:00:00 a. m."</f>
        <v>8/11/2025 12:00:00 a. m.</v>
      </c>
      <c r="AP12" t="str">
        <f>"23/10/2025 12:00:00 a. m."</f>
        <v>23/10/2025 12:00:00 a. m.</v>
      </c>
      <c r="AQ12" t="str">
        <f>"4"</f>
        <v>4</v>
      </c>
      <c r="AR12" t="str">
        <f>"1"</f>
        <v>1</v>
      </c>
      <c r="AS12" t="str">
        <f>"8/11/2025 12:00:00 a. m."</f>
        <v>8/11/2025 12:00:00 a. m.</v>
      </c>
      <c r="AT12" t="str">
        <f t="shared" si="12"/>
        <v>1</v>
      </c>
      <c r="AU12" t="str">
        <f>""</f>
        <v/>
      </c>
      <c r="AV12" t="str">
        <f>"7"</f>
        <v>7</v>
      </c>
      <c r="AW12" t="str">
        <f>"27/03/1975 12:00:00 a. m."</f>
        <v>27/03/1975 12:00:00 a. m.</v>
      </c>
      <c r="AX12" t="str">
        <f>""</f>
        <v/>
      </c>
      <c r="AY12" t="str">
        <f>"12/02/2026 12:00:00 a. m."</f>
        <v>12/02/2026 12:00:00 a. m.</v>
      </c>
      <c r="AZ12" t="str">
        <f>"12/02/2026 12:00:00 a. m."</f>
        <v>12/02/2026 12:00:00 a. m.</v>
      </c>
      <c r="BA12" t="str">
        <f>""</f>
        <v/>
      </c>
      <c r="BB12" t="str">
        <f>""</f>
        <v/>
      </c>
      <c r="BC12" t="str">
        <f>""</f>
        <v/>
      </c>
      <c r="BD12" t="str">
        <f>"1"</f>
        <v>1</v>
      </c>
      <c r="BE12" t="str">
        <f t="shared" si="22"/>
        <v>1</v>
      </c>
      <c r="BF12" t="str">
        <f>"4         "</f>
        <v xml:space="preserve">4         </v>
      </c>
      <c r="BG12" t="str">
        <f>"Confirmado por Clínica"</f>
        <v>Confirmado por Clínica</v>
      </c>
      <c r="BH12" t="str">
        <f>"HOSPITAL UNIVERSITARIO SAN IGNACIO"</f>
        <v>HOSPITAL UNIVERSITARIO SAN IGNACIO</v>
      </c>
      <c r="BI12" t="str">
        <f t="shared" si="23"/>
        <v>COLOMBIA</v>
      </c>
      <c r="BJ12" t="str">
        <f t="shared" si="17"/>
        <v>CHIKUNGUNYA</v>
      </c>
      <c r="BK12" t="str">
        <f>"CUNDINAMARCA"</f>
        <v>CUNDINAMARCA</v>
      </c>
      <c r="BL12" t="str">
        <f>"ANAPOIMA"</f>
        <v>ANAPOIMA</v>
      </c>
      <c r="BM12" t="str">
        <f t="shared" si="18"/>
        <v>COLOMBIA</v>
      </c>
      <c r="BN12" t="str">
        <f>"BOGOTA"</f>
        <v>BOGOTA</v>
      </c>
      <c r="BO12" t="str">
        <f>"BOGOTA"</f>
        <v>BOGOTA</v>
      </c>
      <c r="BP12" t="str">
        <f>"BOGOTA"</f>
        <v>BOGOTA</v>
      </c>
      <c r="BQ12" t="str">
        <f>"BOGOTA"</f>
        <v>BOGOTA</v>
      </c>
    </row>
    <row r="13" spans="1:69" x14ac:dyDescent="0.25">
      <c r="A13" t="str">
        <f>"165998"</f>
        <v>165998</v>
      </c>
      <c r="B13" t="str">
        <f t="shared" si="0"/>
        <v>217</v>
      </c>
      <c r="C13" t="str">
        <f>"25/02/2025 12:00:00 a. m."</f>
        <v>25/02/2025 12:00:00 a. m.</v>
      </c>
      <c r="D13" t="str">
        <f>"08"</f>
        <v>08</v>
      </c>
      <c r="E13" t="str">
        <f t="shared" si="1"/>
        <v>2025</v>
      </c>
      <c r="F13" t="str">
        <f>"0500102172"</f>
        <v>0500102172</v>
      </c>
      <c r="G13" t="str">
        <f>"02"</f>
        <v>02</v>
      </c>
      <c r="H13" t="str">
        <f>"19"</f>
        <v>19</v>
      </c>
      <c r="I13" t="str">
        <f t="shared" si="2"/>
        <v>1</v>
      </c>
      <c r="J13" t="str">
        <f>"F"</f>
        <v>F</v>
      </c>
      <c r="K13" t="str">
        <f t="shared" si="21"/>
        <v>170</v>
      </c>
      <c r="L13" t="str">
        <f>"05"</f>
        <v>05</v>
      </c>
      <c r="M13" t="str">
        <f>"001"</f>
        <v>001</v>
      </c>
      <c r="N13" t="str">
        <f t="shared" si="24"/>
        <v>1</v>
      </c>
      <c r="O13" t="str">
        <f>"99999.05"</f>
        <v>99999.05</v>
      </c>
      <c r="P13" t="str">
        <f>"C"</f>
        <v>C</v>
      </c>
      <c r="Q13" t="str">
        <f>"EPS010"</f>
        <v>EPS010</v>
      </c>
      <c r="R13" t="str">
        <f t="shared" si="4"/>
        <v>6</v>
      </c>
      <c r="S13" t="str">
        <f>""</f>
        <v/>
      </c>
      <c r="T13" t="str">
        <f t="shared" si="5"/>
        <v xml:space="preserve">                                                                                                    </v>
      </c>
      <c r="U13" t="str">
        <f>"6         "</f>
        <v xml:space="preserve">6         </v>
      </c>
      <c r="V13" t="str">
        <f t="shared" si="6"/>
        <v>2</v>
      </c>
      <c r="W13" t="str">
        <f t="shared" si="6"/>
        <v>2</v>
      </c>
      <c r="X13" t="str">
        <f t="shared" si="6"/>
        <v>2</v>
      </c>
      <c r="Y13" t="str">
        <f t="shared" si="6"/>
        <v>2</v>
      </c>
      <c r="Z13" t="str">
        <f t="shared" si="6"/>
        <v>2</v>
      </c>
      <c r="AA13" t="str">
        <f t="shared" si="7"/>
        <v xml:space="preserve">          </v>
      </c>
      <c r="AB13" t="str">
        <f t="shared" si="25"/>
        <v>2</v>
      </c>
      <c r="AC13" t="str">
        <f t="shared" si="25"/>
        <v>2</v>
      </c>
      <c r="AD13" t="str">
        <f t="shared" si="25"/>
        <v>2</v>
      </c>
      <c r="AE13" t="str">
        <f t="shared" si="25"/>
        <v>2</v>
      </c>
      <c r="AF13" t="str">
        <f t="shared" si="25"/>
        <v>2</v>
      </c>
      <c r="AG13" t="str">
        <f t="shared" si="25"/>
        <v>2</v>
      </c>
      <c r="AH13" t="str">
        <f t="shared" si="9"/>
        <v>1</v>
      </c>
      <c r="AI13" t="str">
        <f t="shared" si="10"/>
        <v xml:space="preserve">1         </v>
      </c>
      <c r="AJ13" t="str">
        <f t="shared" si="11"/>
        <v>170</v>
      </c>
      <c r="AK13" t="str">
        <f>"05"</f>
        <v>05</v>
      </c>
      <c r="AL13" t="str">
        <f>"001"</f>
        <v>001</v>
      </c>
      <c r="AM13" t="str">
        <f>"05"</f>
        <v>05</v>
      </c>
      <c r="AN13" t="str">
        <f>"05001"</f>
        <v>05001</v>
      </c>
      <c r="AO13" t="str">
        <f>"20/02/2025 12:00:00 a. m."</f>
        <v>20/02/2025 12:00:00 a. m.</v>
      </c>
      <c r="AP13" t="str">
        <f>"16/02/2025 12:00:00 a. m."</f>
        <v>16/02/2025 12:00:00 a. m.</v>
      </c>
      <c r="AQ13" t="str">
        <f>"1"</f>
        <v>1</v>
      </c>
      <c r="AR13" t="str">
        <f>"1"</f>
        <v>1</v>
      </c>
      <c r="AS13" t="str">
        <f>"20/02/2025 12:00:00 a. m."</f>
        <v>20/02/2025 12:00:00 a. m.</v>
      </c>
      <c r="AT13" t="str">
        <f t="shared" si="12"/>
        <v>1</v>
      </c>
      <c r="AU13" t="str">
        <f>""</f>
        <v/>
      </c>
      <c r="AV13" t="str">
        <f>"4"</f>
        <v>4</v>
      </c>
      <c r="AW13" t="str">
        <f>"22/09/2005 12:00:00 a. m."</f>
        <v>22/09/2005 12:00:00 a. m.</v>
      </c>
      <c r="AX13" t="str">
        <f>""</f>
        <v/>
      </c>
      <c r="AY13" t="str">
        <f>"25/02/2025 12:00:00 a. m."</f>
        <v>25/02/2025 12:00:00 a. m.</v>
      </c>
      <c r="AZ13" t="str">
        <f>"25/02/2025 12:00:00 a. m."</f>
        <v>25/02/2025 12:00:00 a. m.</v>
      </c>
      <c r="BA13" t="str">
        <f>""</f>
        <v/>
      </c>
      <c r="BB13" t="str">
        <f>""</f>
        <v/>
      </c>
      <c r="BC13" t="str">
        <f>""</f>
        <v/>
      </c>
      <c r="BD13" t="str">
        <f>"1"</f>
        <v>1</v>
      </c>
      <c r="BE13" t="str">
        <f t="shared" si="22"/>
        <v>1</v>
      </c>
      <c r="BF13" t="str">
        <f>"4         "</f>
        <v xml:space="preserve">4         </v>
      </c>
      <c r="BG13" t="str">
        <f>"Confirmado por Clínica"</f>
        <v>Confirmado por Clínica</v>
      </c>
      <c r="BH13" t="str">
        <f>"CLINICA MEDELLIN SA POBLADO"</f>
        <v>CLINICA MEDELLIN SA POBLADO</v>
      </c>
      <c r="BI13" t="str">
        <f t="shared" si="23"/>
        <v>COLOMBIA</v>
      </c>
      <c r="BJ13" t="str">
        <f t="shared" si="17"/>
        <v>CHIKUNGUNYA</v>
      </c>
      <c r="BK13" t="str">
        <f>"ANTIOQUIA"</f>
        <v>ANTIOQUIA</v>
      </c>
      <c r="BL13" t="str">
        <f>"MEDELLIN"</f>
        <v>MEDELLIN</v>
      </c>
      <c r="BM13" t="str">
        <f t="shared" si="18"/>
        <v>COLOMBIA</v>
      </c>
      <c r="BN13" t="str">
        <f>"ANTIOQUIA"</f>
        <v>ANTIOQUIA</v>
      </c>
      <c r="BO13" t="str">
        <f>"MEDELLIN"</f>
        <v>MEDELLIN</v>
      </c>
      <c r="BP13" t="str">
        <f>"ANTIOQUIA"</f>
        <v>ANTIOQUIA</v>
      </c>
      <c r="BQ13" t="str">
        <f>"MEDELLIN"</f>
        <v>MEDELLIN</v>
      </c>
    </row>
    <row r="14" spans="1:69" x14ac:dyDescent="0.25">
      <c r="A14" t="str">
        <f>"165980"</f>
        <v>165980</v>
      </c>
      <c r="B14" t="str">
        <f t="shared" si="0"/>
        <v>217</v>
      </c>
      <c r="C14" t="str">
        <f>"16/04/2025 12:00:00 a. m."</f>
        <v>16/04/2025 12:00:00 a. m.</v>
      </c>
      <c r="D14" t="str">
        <f>"13"</f>
        <v>13</v>
      </c>
      <c r="E14" t="str">
        <f t="shared" si="1"/>
        <v>2025</v>
      </c>
      <c r="F14" t="str">
        <f>"1100109456"</f>
        <v>1100109456</v>
      </c>
      <c r="G14" t="str">
        <f>"01"</f>
        <v>01</v>
      </c>
      <c r="H14" t="str">
        <f>"70"</f>
        <v>70</v>
      </c>
      <c r="I14" t="str">
        <f t="shared" si="2"/>
        <v>1</v>
      </c>
      <c r="J14" t="str">
        <f>"F"</f>
        <v>F</v>
      </c>
      <c r="K14" t="str">
        <f t="shared" si="21"/>
        <v>170</v>
      </c>
      <c r="L14" t="str">
        <f>"25"</f>
        <v>25</v>
      </c>
      <c r="M14" t="str">
        <f>"875"</f>
        <v>875</v>
      </c>
      <c r="N14" t="str">
        <f t="shared" si="24"/>
        <v>1</v>
      </c>
      <c r="O14" t="str">
        <f>"99999.03"</f>
        <v>99999.03</v>
      </c>
      <c r="P14" t="str">
        <f>"C"</f>
        <v>C</v>
      </c>
      <c r="Q14" t="str">
        <f>"EPS037"</f>
        <v>EPS037</v>
      </c>
      <c r="R14" t="str">
        <f t="shared" si="4"/>
        <v>6</v>
      </c>
      <c r="S14" t="str">
        <f>""</f>
        <v/>
      </c>
      <c r="T14" t="str">
        <f t="shared" si="5"/>
        <v xml:space="preserve">                                                                                                    </v>
      </c>
      <c r="U14" t="str">
        <f>"2         "</f>
        <v xml:space="preserve">2         </v>
      </c>
      <c r="V14" t="str">
        <f t="shared" si="6"/>
        <v>2</v>
      </c>
      <c r="W14" t="str">
        <f t="shared" si="6"/>
        <v>2</v>
      </c>
      <c r="X14" t="str">
        <f t="shared" si="6"/>
        <v>2</v>
      </c>
      <c r="Y14" t="str">
        <f t="shared" si="6"/>
        <v>2</v>
      </c>
      <c r="Z14" t="str">
        <f t="shared" si="6"/>
        <v>2</v>
      </c>
      <c r="AA14" t="str">
        <f t="shared" si="7"/>
        <v xml:space="preserve">          </v>
      </c>
      <c r="AB14" t="str">
        <f t="shared" si="25"/>
        <v>2</v>
      </c>
      <c r="AC14" t="str">
        <f t="shared" si="25"/>
        <v>2</v>
      </c>
      <c r="AD14" t="str">
        <f t="shared" si="25"/>
        <v>2</v>
      </c>
      <c r="AE14" t="str">
        <f t="shared" si="25"/>
        <v>2</v>
      </c>
      <c r="AF14" t="str">
        <f t="shared" si="25"/>
        <v>2</v>
      </c>
      <c r="AG14" t="str">
        <f t="shared" si="25"/>
        <v>2</v>
      </c>
      <c r="AH14" t="str">
        <f t="shared" si="9"/>
        <v>1</v>
      </c>
      <c r="AI14" t="str">
        <f t="shared" si="10"/>
        <v xml:space="preserve">1         </v>
      </c>
      <c r="AJ14" t="str">
        <f t="shared" si="11"/>
        <v>170</v>
      </c>
      <c r="AK14" t="str">
        <f>"11"</f>
        <v>11</v>
      </c>
      <c r="AL14" t="str">
        <f>"001"</f>
        <v>001</v>
      </c>
      <c r="AM14" t="str">
        <f>"11"</f>
        <v>11</v>
      </c>
      <c r="AN14" t="str">
        <f>"11001"</f>
        <v>11001</v>
      </c>
      <c r="AO14" t="str">
        <f>"16/04/2025 12:00:00 a. m."</f>
        <v>16/04/2025 12:00:00 a. m.</v>
      </c>
      <c r="AP14" t="str">
        <f>"26/03/2025 12:00:00 a. m."</f>
        <v>26/03/2025 12:00:00 a. m.</v>
      </c>
      <c r="AQ14" t="str">
        <f>"1"</f>
        <v>1</v>
      </c>
      <c r="AR14" t="str">
        <f>"1"</f>
        <v>1</v>
      </c>
      <c r="AS14" t="str">
        <f>"16/04/2025 12:00:00 a. m."</f>
        <v>16/04/2025 12:00:00 a. m.</v>
      </c>
      <c r="AT14" t="str">
        <f>"2"</f>
        <v>2</v>
      </c>
      <c r="AU14" t="str">
        <f>"11/05/2025 12:00:00 a. m."</f>
        <v>11/05/2025 12:00:00 a. m.</v>
      </c>
      <c r="AV14" t="str">
        <f>"7"</f>
        <v>7</v>
      </c>
      <c r="AW14" t="str">
        <f>"18/08/1954 12:00:00 a. m."</f>
        <v>18/08/1954 12:00:00 a. m.</v>
      </c>
      <c r="AX14" t="str">
        <f>"J159"</f>
        <v>J159</v>
      </c>
      <c r="AY14" t="str">
        <f>"1/12/2025 12:00:00 a. m."</f>
        <v>1/12/2025 12:00:00 a. m.</v>
      </c>
      <c r="AZ14" t="str">
        <f>"1/12/2025 12:00:00 a. m."</f>
        <v>1/12/2025 12:00:00 a. m.</v>
      </c>
      <c r="BA14" t="str">
        <f>""</f>
        <v/>
      </c>
      <c r="BB14" t="str">
        <f>""</f>
        <v/>
      </c>
      <c r="BC14" t="str">
        <f>""</f>
        <v/>
      </c>
      <c r="BD14" t="str">
        <f>"0"</f>
        <v>0</v>
      </c>
      <c r="BE14" t="str">
        <f t="shared" si="22"/>
        <v>1</v>
      </c>
      <c r="BF14" t="str">
        <f>"1         "</f>
        <v xml:space="preserve">1         </v>
      </c>
      <c r="BG14" t="str">
        <f>"Sospechoso"</f>
        <v>Sospechoso</v>
      </c>
      <c r="BH14" t="str">
        <f>"HOSPITAL UNIVERSITARIO SAN IGNACIO"</f>
        <v>HOSPITAL UNIVERSITARIO SAN IGNACIO</v>
      </c>
      <c r="BI14" t="str">
        <f t="shared" si="23"/>
        <v>COLOMBIA</v>
      </c>
      <c r="BJ14" t="str">
        <f t="shared" si="17"/>
        <v>CHIKUNGUNYA</v>
      </c>
      <c r="BK14" t="str">
        <f>"CUNDINAMARCA"</f>
        <v>CUNDINAMARCA</v>
      </c>
      <c r="BL14" t="str">
        <f>"VILLETA"</f>
        <v>VILLETA</v>
      </c>
      <c r="BM14" t="str">
        <f t="shared" si="18"/>
        <v>COLOMBIA</v>
      </c>
      <c r="BN14" t="str">
        <f t="shared" ref="BN14:BQ16" si="26">"BOGOTA"</f>
        <v>BOGOTA</v>
      </c>
      <c r="BO14" t="str">
        <f t="shared" si="26"/>
        <v>BOGOTA</v>
      </c>
      <c r="BP14" t="str">
        <f t="shared" si="26"/>
        <v>BOGOTA</v>
      </c>
      <c r="BQ14" t="str">
        <f t="shared" si="26"/>
        <v>BOGOTA</v>
      </c>
    </row>
    <row r="15" spans="1:69" x14ac:dyDescent="0.25">
      <c r="A15" t="str">
        <f>"483324"</f>
        <v>483324</v>
      </c>
      <c r="B15" t="str">
        <f t="shared" si="0"/>
        <v>217</v>
      </c>
      <c r="C15" t="str">
        <f>"9/11/2025 12:00:00 a. m."</f>
        <v>9/11/2025 12:00:00 a. m.</v>
      </c>
      <c r="D15" t="str">
        <f>"45"</f>
        <v>45</v>
      </c>
      <c r="E15" t="str">
        <f t="shared" si="1"/>
        <v>2025</v>
      </c>
      <c r="F15" t="str">
        <f>"1100109456"</f>
        <v>1100109456</v>
      </c>
      <c r="G15" t="str">
        <f>"01"</f>
        <v>01</v>
      </c>
      <c r="H15" t="str">
        <f>"65"</f>
        <v>65</v>
      </c>
      <c r="I15" t="str">
        <f t="shared" si="2"/>
        <v>1</v>
      </c>
      <c r="J15" t="str">
        <f>"M"</f>
        <v>M</v>
      </c>
      <c r="K15" t="str">
        <f>"192"</f>
        <v>192</v>
      </c>
      <c r="L15" t="str">
        <f>"01"</f>
        <v>01</v>
      </c>
      <c r="M15" t="str">
        <f>"192"</f>
        <v>192</v>
      </c>
      <c r="N15" t="str">
        <f t="shared" si="24"/>
        <v>1</v>
      </c>
      <c r="O15" t="str">
        <f>"96220"</f>
        <v>96220</v>
      </c>
      <c r="P15" t="str">
        <f>"S"</f>
        <v>S</v>
      </c>
      <c r="Q15" t="str">
        <f>"EPSS08"</f>
        <v>EPSS08</v>
      </c>
      <c r="R15" t="str">
        <f t="shared" si="4"/>
        <v>6</v>
      </c>
      <c r="S15" t="str">
        <f>""</f>
        <v/>
      </c>
      <c r="T15" t="str">
        <f t="shared" si="5"/>
        <v xml:space="preserve">                                                                                                    </v>
      </c>
      <c r="U15" t="str">
        <f>"2         "</f>
        <v xml:space="preserve">2         </v>
      </c>
      <c r="V15" t="str">
        <f t="shared" si="6"/>
        <v>2</v>
      </c>
      <c r="W15" t="str">
        <f t="shared" si="6"/>
        <v>2</v>
      </c>
      <c r="X15" t="str">
        <f t="shared" si="6"/>
        <v>2</v>
      </c>
      <c r="Y15" t="str">
        <f t="shared" si="6"/>
        <v>2</v>
      </c>
      <c r="Z15" t="str">
        <f t="shared" si="6"/>
        <v>2</v>
      </c>
      <c r="AA15" t="str">
        <f t="shared" si="7"/>
        <v xml:space="preserve">          </v>
      </c>
      <c r="AB15" t="str">
        <f t="shared" si="25"/>
        <v>2</v>
      </c>
      <c r="AC15" t="str">
        <f t="shared" si="25"/>
        <v>2</v>
      </c>
      <c r="AD15" t="str">
        <f t="shared" si="25"/>
        <v>2</v>
      </c>
      <c r="AE15" t="str">
        <f t="shared" si="25"/>
        <v>2</v>
      </c>
      <c r="AF15" t="str">
        <f t="shared" si="25"/>
        <v>2</v>
      </c>
      <c r="AG15" t="str">
        <f t="shared" si="25"/>
        <v>2</v>
      </c>
      <c r="AH15" t="str">
        <f t="shared" si="9"/>
        <v>1</v>
      </c>
      <c r="AI15" t="str">
        <f t="shared" si="10"/>
        <v xml:space="preserve">1         </v>
      </c>
      <c r="AJ15" t="str">
        <f t="shared" si="11"/>
        <v>170</v>
      </c>
      <c r="AK15" t="str">
        <f>"11"</f>
        <v>11</v>
      </c>
      <c r="AL15" t="str">
        <f>"001"</f>
        <v>001</v>
      </c>
      <c r="AM15" t="str">
        <f>"11"</f>
        <v>11</v>
      </c>
      <c r="AN15" t="str">
        <f>"11001"</f>
        <v>11001</v>
      </c>
      <c r="AO15" t="str">
        <f>"8/11/2025 12:00:00 a. m."</f>
        <v>8/11/2025 12:00:00 a. m.</v>
      </c>
      <c r="AP15" t="str">
        <f>"4/11/2025 12:00:00 a. m."</f>
        <v>4/11/2025 12:00:00 a. m.</v>
      </c>
      <c r="AQ15" t="str">
        <f>"1"</f>
        <v>1</v>
      </c>
      <c r="AR15" t="str">
        <f>"1"</f>
        <v>1</v>
      </c>
      <c r="AS15" t="str">
        <f>"8/11/2025 12:00:00 a. m."</f>
        <v>8/11/2025 12:00:00 a. m.</v>
      </c>
      <c r="AT15" t="str">
        <f t="shared" ref="AT15:AT26" si="27">"1"</f>
        <v>1</v>
      </c>
      <c r="AU15" t="str">
        <f>""</f>
        <v/>
      </c>
      <c r="AV15" t="str">
        <f>"3"</f>
        <v>3</v>
      </c>
      <c r="AW15" t="str">
        <f>"5/11/1960 12:00:00 a. m."</f>
        <v>5/11/1960 12:00:00 a. m.</v>
      </c>
      <c r="AX15" t="str">
        <f>""</f>
        <v/>
      </c>
      <c r="AY15" t="str">
        <f>"21/11/2025 12:00:00 a. m."</f>
        <v>21/11/2025 12:00:00 a. m.</v>
      </c>
      <c r="AZ15" t="str">
        <f>"21/11/2025 12:00:00 a. m."</f>
        <v>21/11/2025 12:00:00 a. m.</v>
      </c>
      <c r="BA15" t="str">
        <f>""</f>
        <v/>
      </c>
      <c r="BB15" t="str">
        <f>""</f>
        <v/>
      </c>
      <c r="BC15" t="str">
        <f>""</f>
        <v/>
      </c>
      <c r="BD15" t="str">
        <f t="shared" ref="BD15:BD26" si="28">"1"</f>
        <v>1</v>
      </c>
      <c r="BE15" t="str">
        <f t="shared" si="22"/>
        <v>1</v>
      </c>
      <c r="BF15" t="str">
        <f>"3         "</f>
        <v xml:space="preserve">3         </v>
      </c>
      <c r="BG15" t="str">
        <f>"Confirmado por laboratorio"</f>
        <v>Confirmado por laboratorio</v>
      </c>
      <c r="BH15" t="str">
        <f>"HOSPITAL UNIVERSITARIO SAN IGNACIO"</f>
        <v>HOSPITAL UNIVERSITARIO SAN IGNACIO</v>
      </c>
      <c r="BI15" t="str">
        <f>"CUBA"</f>
        <v>CUBA</v>
      </c>
      <c r="BJ15" t="str">
        <f t="shared" si="17"/>
        <v>CHIKUNGUNYA</v>
      </c>
      <c r="BK15" t="str">
        <f>"EXTERIOR"</f>
        <v>EXTERIOR</v>
      </c>
      <c r="BL15" t="str">
        <f>"EXTERIOR_CUBA"</f>
        <v>EXTERIOR_CUBA</v>
      </c>
      <c r="BM15" t="str">
        <f t="shared" si="18"/>
        <v>COLOMBIA</v>
      </c>
      <c r="BN15" t="str">
        <f t="shared" si="26"/>
        <v>BOGOTA</v>
      </c>
      <c r="BO15" t="str">
        <f t="shared" si="26"/>
        <v>BOGOTA</v>
      </c>
      <c r="BP15" t="str">
        <f t="shared" si="26"/>
        <v>BOGOTA</v>
      </c>
      <c r="BQ15" t="str">
        <f t="shared" si="26"/>
        <v>BOGOTA</v>
      </c>
    </row>
    <row r="16" spans="1:69" x14ac:dyDescent="0.25">
      <c r="A16" t="str">
        <f>"483327"</f>
        <v>483327</v>
      </c>
      <c r="B16" t="str">
        <f t="shared" si="0"/>
        <v>217</v>
      </c>
      <c r="C16" t="str">
        <f>"28/10/2025 12:00:00 a. m."</f>
        <v>28/10/2025 12:00:00 a. m.</v>
      </c>
      <c r="D16" t="str">
        <f>"43"</f>
        <v>43</v>
      </c>
      <c r="E16" t="str">
        <f t="shared" si="1"/>
        <v>2025</v>
      </c>
      <c r="F16" t="str">
        <f>"1100109456"</f>
        <v>1100109456</v>
      </c>
      <c r="G16" t="str">
        <f>"01"</f>
        <v>01</v>
      </c>
      <c r="H16" t="str">
        <f>"54"</f>
        <v>54</v>
      </c>
      <c r="I16" t="str">
        <f t="shared" si="2"/>
        <v>1</v>
      </c>
      <c r="J16" t="str">
        <f>"F"</f>
        <v>F</v>
      </c>
      <c r="K16" t="str">
        <f>"192"</f>
        <v>192</v>
      </c>
      <c r="L16" t="str">
        <f>"01"</f>
        <v>01</v>
      </c>
      <c r="M16" t="str">
        <f>"192"</f>
        <v>192</v>
      </c>
      <c r="N16" t="str">
        <f t="shared" si="24"/>
        <v>1</v>
      </c>
      <c r="O16" t="str">
        <f>"22120"</f>
        <v>22120</v>
      </c>
      <c r="P16" t="str">
        <f>"N"</f>
        <v>N</v>
      </c>
      <c r="Q16" t="str">
        <f>""</f>
        <v/>
      </c>
      <c r="R16" t="str">
        <f t="shared" si="4"/>
        <v>6</v>
      </c>
      <c r="S16" t="str">
        <f>""</f>
        <v/>
      </c>
      <c r="T16" t="str">
        <f t="shared" si="5"/>
        <v xml:space="preserve">                                                                                                    </v>
      </c>
      <c r="U16" t="str">
        <f>"2         "</f>
        <v xml:space="preserve">2         </v>
      </c>
      <c r="V16" t="str">
        <f t="shared" ref="V16:W26" si="29">"2"</f>
        <v>2</v>
      </c>
      <c r="W16" t="str">
        <f t="shared" si="29"/>
        <v>2</v>
      </c>
      <c r="X16" t="str">
        <f>"1"</f>
        <v>1</v>
      </c>
      <c r="Y16" t="str">
        <f t="shared" ref="Y16:Z26" si="30">"2"</f>
        <v>2</v>
      </c>
      <c r="Z16" t="str">
        <f t="shared" si="30"/>
        <v>2</v>
      </c>
      <c r="AA16" t="str">
        <f t="shared" si="7"/>
        <v xml:space="preserve">          </v>
      </c>
      <c r="AB16" t="str">
        <f t="shared" si="25"/>
        <v>2</v>
      </c>
      <c r="AC16" t="str">
        <f t="shared" si="25"/>
        <v>2</v>
      </c>
      <c r="AD16" t="str">
        <f t="shared" si="25"/>
        <v>2</v>
      </c>
      <c r="AE16" t="str">
        <f t="shared" si="25"/>
        <v>2</v>
      </c>
      <c r="AF16" t="str">
        <f t="shared" si="25"/>
        <v>2</v>
      </c>
      <c r="AG16" t="str">
        <f t="shared" si="25"/>
        <v>2</v>
      </c>
      <c r="AH16" t="str">
        <f>"2"</f>
        <v>2</v>
      </c>
      <c r="AI16" t="str">
        <f t="shared" si="10"/>
        <v xml:space="preserve">1         </v>
      </c>
      <c r="AJ16" t="str">
        <f t="shared" si="11"/>
        <v>170</v>
      </c>
      <c r="AK16" t="str">
        <f>"11"</f>
        <v>11</v>
      </c>
      <c r="AL16" t="str">
        <f>"001"</f>
        <v>001</v>
      </c>
      <c r="AM16" t="str">
        <f>"11"</f>
        <v>11</v>
      </c>
      <c r="AN16" t="str">
        <f>"11001"</f>
        <v>11001</v>
      </c>
      <c r="AO16" t="str">
        <f>"27/10/2025 12:00:00 a. m."</f>
        <v>27/10/2025 12:00:00 a. m.</v>
      </c>
      <c r="AP16" t="str">
        <f>"25/10/2025 12:00:00 a. m."</f>
        <v>25/10/2025 12:00:00 a. m.</v>
      </c>
      <c r="AQ16" t="str">
        <f>"1"</f>
        <v>1</v>
      </c>
      <c r="AR16" t="str">
        <f>"2"</f>
        <v>2</v>
      </c>
      <c r="AS16" t="str">
        <f>""</f>
        <v/>
      </c>
      <c r="AT16" t="str">
        <f t="shared" si="27"/>
        <v>1</v>
      </c>
      <c r="AU16" t="str">
        <f>""</f>
        <v/>
      </c>
      <c r="AV16" t="str">
        <f>"3"</f>
        <v>3</v>
      </c>
      <c r="AW16" t="str">
        <f>"21/03/1971 12:00:00 a. m."</f>
        <v>21/03/1971 12:00:00 a. m.</v>
      </c>
      <c r="AX16" t="str">
        <f>""</f>
        <v/>
      </c>
      <c r="AY16" t="str">
        <f>"12/11/2025 12:00:00 a. m."</f>
        <v>12/11/2025 12:00:00 a. m.</v>
      </c>
      <c r="AZ16" t="str">
        <f>"12/11/2025 12:00:00 a. m."</f>
        <v>12/11/2025 12:00:00 a. m.</v>
      </c>
      <c r="BA16" t="str">
        <f>""</f>
        <v/>
      </c>
      <c r="BB16" t="str">
        <f>""</f>
        <v/>
      </c>
      <c r="BC16" t="str">
        <f>""</f>
        <v/>
      </c>
      <c r="BD16" t="str">
        <f t="shared" si="28"/>
        <v>1</v>
      </c>
      <c r="BE16" t="str">
        <f t="shared" si="22"/>
        <v>1</v>
      </c>
      <c r="BF16" t="str">
        <f>"3         "</f>
        <v xml:space="preserve">3         </v>
      </c>
      <c r="BG16" t="str">
        <f>"Confirmado por laboratorio"</f>
        <v>Confirmado por laboratorio</v>
      </c>
      <c r="BH16" t="str">
        <f>"HOSPITAL UNIVERSITARIO SAN IGNACIO"</f>
        <v>HOSPITAL UNIVERSITARIO SAN IGNACIO</v>
      </c>
      <c r="BI16" t="str">
        <f>"CUBA"</f>
        <v>CUBA</v>
      </c>
      <c r="BJ16" t="str">
        <f t="shared" si="17"/>
        <v>CHIKUNGUNYA</v>
      </c>
      <c r="BK16" t="str">
        <f>"EXTERIOR"</f>
        <v>EXTERIOR</v>
      </c>
      <c r="BL16" t="str">
        <f>"EXTERIOR_CUBA"</f>
        <v>EXTERIOR_CUBA</v>
      </c>
      <c r="BM16" t="str">
        <f t="shared" si="18"/>
        <v>COLOMBIA</v>
      </c>
      <c r="BN16" t="str">
        <f t="shared" si="26"/>
        <v>BOGOTA</v>
      </c>
      <c r="BO16" t="str">
        <f t="shared" si="26"/>
        <v>BOGOTA</v>
      </c>
      <c r="BP16" t="str">
        <f t="shared" si="26"/>
        <v>BOGOTA</v>
      </c>
      <c r="BQ16" t="str">
        <f t="shared" si="26"/>
        <v>BOGOTA</v>
      </c>
    </row>
    <row r="17" spans="1:69" x14ac:dyDescent="0.25">
      <c r="A17" t="str">
        <f>"477945"</f>
        <v>477945</v>
      </c>
      <c r="B17" t="str">
        <f t="shared" si="0"/>
        <v>217</v>
      </c>
      <c r="C17" t="str">
        <f>"26/11/2025 12:00:00 a. m."</f>
        <v>26/11/2025 12:00:00 a. m.</v>
      </c>
      <c r="D17" t="str">
        <f>"48"</f>
        <v>48</v>
      </c>
      <c r="E17" t="str">
        <f t="shared" si="1"/>
        <v>2025</v>
      </c>
      <c r="F17" t="str">
        <f>"0526614294"</f>
        <v>0526614294</v>
      </c>
      <c r="G17" t="str">
        <f>"14"</f>
        <v>14</v>
      </c>
      <c r="H17" t="str">
        <f>"45"</f>
        <v>45</v>
      </c>
      <c r="I17" t="str">
        <f t="shared" si="2"/>
        <v>1</v>
      </c>
      <c r="J17" t="str">
        <f>"M"</f>
        <v>M</v>
      </c>
      <c r="K17" t="str">
        <f t="shared" ref="K17:K24" si="31">"170"</f>
        <v>170</v>
      </c>
      <c r="L17" t="str">
        <f>"05"</f>
        <v>05</v>
      </c>
      <c r="M17" t="str">
        <f>"631"</f>
        <v>631</v>
      </c>
      <c r="N17" t="str">
        <f t="shared" si="24"/>
        <v>1</v>
      </c>
      <c r="O17" t="str">
        <f>"21420"</f>
        <v>21420</v>
      </c>
      <c r="P17" t="str">
        <f>"C"</f>
        <v>C</v>
      </c>
      <c r="Q17" t="str">
        <f>"EPS005"</f>
        <v>EPS005</v>
      </c>
      <c r="R17" t="str">
        <f t="shared" si="4"/>
        <v>6</v>
      </c>
      <c r="S17" t="str">
        <f>""</f>
        <v/>
      </c>
      <c r="T17" t="str">
        <f t="shared" si="5"/>
        <v xml:space="preserve">                                                                                                    </v>
      </c>
      <c r="U17" t="str">
        <f>"4         "</f>
        <v xml:space="preserve">4         </v>
      </c>
      <c r="V17" t="str">
        <f t="shared" si="29"/>
        <v>2</v>
      </c>
      <c r="W17" t="str">
        <f t="shared" si="29"/>
        <v>2</v>
      </c>
      <c r="X17" t="str">
        <f t="shared" ref="X17:X26" si="32">"2"</f>
        <v>2</v>
      </c>
      <c r="Y17" t="str">
        <f t="shared" si="30"/>
        <v>2</v>
      </c>
      <c r="Z17" t="str">
        <f t="shared" si="30"/>
        <v>2</v>
      </c>
      <c r="AA17" t="str">
        <f t="shared" si="7"/>
        <v xml:space="preserve">          </v>
      </c>
      <c r="AB17" t="str">
        <f t="shared" si="25"/>
        <v>2</v>
      </c>
      <c r="AC17" t="str">
        <f t="shared" si="25"/>
        <v>2</v>
      </c>
      <c r="AD17" t="str">
        <f t="shared" si="25"/>
        <v>2</v>
      </c>
      <c r="AE17" t="str">
        <f t="shared" si="25"/>
        <v>2</v>
      </c>
      <c r="AF17" t="str">
        <f t="shared" si="25"/>
        <v>2</v>
      </c>
      <c r="AG17" t="str">
        <f t="shared" si="25"/>
        <v>2</v>
      </c>
      <c r="AH17" t="str">
        <f t="shared" ref="AH17:AH26" si="33">"1"</f>
        <v>1</v>
      </c>
      <c r="AI17" t="str">
        <f t="shared" si="10"/>
        <v xml:space="preserve">1         </v>
      </c>
      <c r="AJ17" t="str">
        <f t="shared" si="11"/>
        <v>170</v>
      </c>
      <c r="AK17" t="str">
        <f>"05"</f>
        <v>05</v>
      </c>
      <c r="AL17" t="str">
        <f>"631"</f>
        <v>631</v>
      </c>
      <c r="AM17" t="str">
        <f>"05"</f>
        <v>05</v>
      </c>
      <c r="AN17" t="str">
        <f>"05266"</f>
        <v>05266</v>
      </c>
      <c r="AO17" t="str">
        <f>"26/11/2025 12:00:00 a. m."</f>
        <v>26/11/2025 12:00:00 a. m.</v>
      </c>
      <c r="AP17" t="str">
        <f>"23/11/2025 12:00:00 a. m."</f>
        <v>23/11/2025 12:00:00 a. m.</v>
      </c>
      <c r="AQ17" t="str">
        <f>"1"</f>
        <v>1</v>
      </c>
      <c r="AR17" t="str">
        <f>"2"</f>
        <v>2</v>
      </c>
      <c r="AS17" t="str">
        <f>""</f>
        <v/>
      </c>
      <c r="AT17" t="str">
        <f t="shared" si="27"/>
        <v>1</v>
      </c>
      <c r="AU17" t="str">
        <f>""</f>
        <v/>
      </c>
      <c r="AV17" t="str">
        <f>"4"</f>
        <v>4</v>
      </c>
      <c r="AW17" t="str">
        <f>"3/03/1980 12:00:00 a. m."</f>
        <v>3/03/1980 12:00:00 a. m.</v>
      </c>
      <c r="AX17" t="str">
        <f>""</f>
        <v/>
      </c>
      <c r="AY17" t="str">
        <f>"27/11/2025 12:00:00 a. m."</f>
        <v>27/11/2025 12:00:00 a. m.</v>
      </c>
      <c r="AZ17" t="str">
        <f>"27/11/2025 12:00:00 a. m."</f>
        <v>27/11/2025 12:00:00 a. m.</v>
      </c>
      <c r="BA17" t="str">
        <f>""</f>
        <v/>
      </c>
      <c r="BB17" t="str">
        <f>""</f>
        <v/>
      </c>
      <c r="BC17" t="str">
        <f>""</f>
        <v/>
      </c>
      <c r="BD17" t="str">
        <f t="shared" si="28"/>
        <v>1</v>
      </c>
      <c r="BE17" t="str">
        <f t="shared" si="22"/>
        <v>1</v>
      </c>
      <c r="BF17" t="str">
        <f>"4         "</f>
        <v xml:space="preserve">4         </v>
      </c>
      <c r="BG17" t="str">
        <f>"Confirmado por Clínica"</f>
        <v>Confirmado por Clínica</v>
      </c>
      <c r="BH17" t="str">
        <f>"NEUROMEDICA CITY PLAZA"</f>
        <v>NEUROMEDICA CITY PLAZA</v>
      </c>
      <c r="BI17" t="str">
        <f t="shared" ref="BI17:BI24" si="34">"COLOMBIA"</f>
        <v>COLOMBIA</v>
      </c>
      <c r="BJ17" t="str">
        <f t="shared" si="17"/>
        <v>CHIKUNGUNYA</v>
      </c>
      <c r="BK17" t="str">
        <f>"ANTIOQUIA"</f>
        <v>ANTIOQUIA</v>
      </c>
      <c r="BL17" t="str">
        <f>"SABANETA"</f>
        <v>SABANETA</v>
      </c>
      <c r="BM17" t="str">
        <f t="shared" si="18"/>
        <v>COLOMBIA</v>
      </c>
      <c r="BN17" t="str">
        <f>"ANTIOQUIA"</f>
        <v>ANTIOQUIA</v>
      </c>
      <c r="BO17" t="str">
        <f>"SABANETA"</f>
        <v>SABANETA</v>
      </c>
      <c r="BP17" t="str">
        <f>"ANTIOQUIA"</f>
        <v>ANTIOQUIA</v>
      </c>
      <c r="BQ17" t="str">
        <f>"ENVIGADO"</f>
        <v>ENVIGADO</v>
      </c>
    </row>
    <row r="18" spans="1:69" x14ac:dyDescent="0.25">
      <c r="A18" t="str">
        <f>"165967"</f>
        <v>165967</v>
      </c>
      <c r="B18" t="str">
        <f t="shared" si="0"/>
        <v>217</v>
      </c>
      <c r="C18" t="str">
        <f>"11/02/2025 12:00:00 a. m."</f>
        <v>11/02/2025 12:00:00 a. m.</v>
      </c>
      <c r="D18" t="str">
        <f>"06"</f>
        <v>06</v>
      </c>
      <c r="E18" t="str">
        <f t="shared" si="1"/>
        <v>2025</v>
      </c>
      <c r="F18" t="str">
        <f>"8600100038"</f>
        <v>8600100038</v>
      </c>
      <c r="G18" t="str">
        <f>"01"</f>
        <v>01</v>
      </c>
      <c r="H18" t="str">
        <f>"23"</f>
        <v>23</v>
      </c>
      <c r="I18" t="str">
        <f t="shared" si="2"/>
        <v>1</v>
      </c>
      <c r="J18" t="str">
        <f>"F"</f>
        <v>F</v>
      </c>
      <c r="K18" t="str">
        <f t="shared" si="31"/>
        <v>170</v>
      </c>
      <c r="L18" t="str">
        <f>"86"</f>
        <v>86</v>
      </c>
      <c r="M18" t="str">
        <f>"001"</f>
        <v>001</v>
      </c>
      <c r="N18" t="str">
        <f t="shared" si="24"/>
        <v>1</v>
      </c>
      <c r="O18" t="str">
        <f>"99999.04"</f>
        <v>99999.04</v>
      </c>
      <c r="P18" t="str">
        <f>"S"</f>
        <v>S</v>
      </c>
      <c r="Q18" t="str">
        <f>"EPSS37"</f>
        <v>EPSS37</v>
      </c>
      <c r="R18" t="str">
        <f t="shared" si="4"/>
        <v>6</v>
      </c>
      <c r="S18" t="str">
        <f>""</f>
        <v/>
      </c>
      <c r="T18" t="str">
        <f t="shared" si="5"/>
        <v xml:space="preserve">                                                                                                    </v>
      </c>
      <c r="U18" t="str">
        <f>"1         "</f>
        <v xml:space="preserve">1         </v>
      </c>
      <c r="V18" t="str">
        <f t="shared" si="29"/>
        <v>2</v>
      </c>
      <c r="W18" t="str">
        <f t="shared" si="29"/>
        <v>2</v>
      </c>
      <c r="X18" t="str">
        <f t="shared" si="32"/>
        <v>2</v>
      </c>
      <c r="Y18" t="str">
        <f t="shared" si="30"/>
        <v>2</v>
      </c>
      <c r="Z18" t="str">
        <f t="shared" si="30"/>
        <v>2</v>
      </c>
      <c r="AA18" t="str">
        <f t="shared" si="7"/>
        <v xml:space="preserve">          </v>
      </c>
      <c r="AB18" t="str">
        <f t="shared" si="25"/>
        <v>2</v>
      </c>
      <c r="AC18" t="str">
        <f t="shared" si="25"/>
        <v>2</v>
      </c>
      <c r="AD18" t="str">
        <f t="shared" si="25"/>
        <v>2</v>
      </c>
      <c r="AE18" t="str">
        <f t="shared" si="25"/>
        <v>2</v>
      </c>
      <c r="AF18" t="str">
        <f t="shared" si="25"/>
        <v>2</v>
      </c>
      <c r="AG18" t="str">
        <f t="shared" si="25"/>
        <v>2</v>
      </c>
      <c r="AH18" t="str">
        <f t="shared" si="33"/>
        <v>1</v>
      </c>
      <c r="AI18" t="str">
        <f t="shared" si="10"/>
        <v xml:space="preserve">1         </v>
      </c>
      <c r="AJ18" t="str">
        <f t="shared" si="11"/>
        <v>170</v>
      </c>
      <c r="AK18" t="str">
        <f>"86"</f>
        <v>86</v>
      </c>
      <c r="AL18" t="str">
        <f>"001"</f>
        <v>001</v>
      </c>
      <c r="AM18" t="str">
        <f>"86"</f>
        <v>86</v>
      </c>
      <c r="AN18" t="str">
        <f>"86001"</f>
        <v>86001</v>
      </c>
      <c r="AO18" t="str">
        <f>"9/02/2025 12:00:00 a. m."</f>
        <v>9/02/2025 12:00:00 a. m.</v>
      </c>
      <c r="AP18" t="str">
        <f>"6/02/2025 12:00:00 a. m."</f>
        <v>6/02/2025 12:00:00 a. m.</v>
      </c>
      <c r="AQ18" t="str">
        <f>"4"</f>
        <v>4</v>
      </c>
      <c r="AR18" t="str">
        <f>"1"</f>
        <v>1</v>
      </c>
      <c r="AS18" t="str">
        <f>"9/02/2025 12:00:00 a. m."</f>
        <v>9/02/2025 12:00:00 a. m.</v>
      </c>
      <c r="AT18" t="str">
        <f t="shared" si="27"/>
        <v>1</v>
      </c>
      <c r="AU18" t="str">
        <f>""</f>
        <v/>
      </c>
      <c r="AV18" t="str">
        <f>"0"</f>
        <v>0</v>
      </c>
      <c r="AW18" t="str">
        <f>"16/01/2002 12:00:00 a. m."</f>
        <v>16/01/2002 12:00:00 a. m.</v>
      </c>
      <c r="AX18" t="str">
        <f>""</f>
        <v/>
      </c>
      <c r="AY18" t="str">
        <f>"19/02/2025 12:00:00 a. m."</f>
        <v>19/02/2025 12:00:00 a. m.</v>
      </c>
      <c r="AZ18" t="str">
        <f>"19/02/2025 12:00:00 a. m."</f>
        <v>19/02/2025 12:00:00 a. m.</v>
      </c>
      <c r="BA18" t="str">
        <f>""</f>
        <v/>
      </c>
      <c r="BB18" t="str">
        <f>""</f>
        <v/>
      </c>
      <c r="BC18" t="str">
        <f>""</f>
        <v/>
      </c>
      <c r="BD18" t="str">
        <f t="shared" si="28"/>
        <v>1</v>
      </c>
      <c r="BE18" t="str">
        <f t="shared" si="22"/>
        <v>1</v>
      </c>
      <c r="BF18" t="str">
        <f>"4         "</f>
        <v xml:space="preserve">4         </v>
      </c>
      <c r="BG18" t="str">
        <f>"Confirmado por Clínica"</f>
        <v>Confirmado por Clínica</v>
      </c>
      <c r="BH18" t="str">
        <f>"ESE HOSPITAL JOSE MARIA HERNANDEZ"</f>
        <v>ESE HOSPITAL JOSE MARIA HERNANDEZ</v>
      </c>
      <c r="BI18" t="str">
        <f t="shared" si="34"/>
        <v>COLOMBIA</v>
      </c>
      <c r="BJ18" t="str">
        <f t="shared" si="17"/>
        <v>CHIKUNGUNYA</v>
      </c>
      <c r="BK18" t="str">
        <f>"PUTUMAYO"</f>
        <v>PUTUMAYO</v>
      </c>
      <c r="BL18" t="str">
        <f>"MOCOA"</f>
        <v>MOCOA</v>
      </c>
      <c r="BM18" t="str">
        <f t="shared" si="18"/>
        <v>COLOMBIA</v>
      </c>
      <c r="BN18" t="str">
        <f>"PUTUMAYO"</f>
        <v>PUTUMAYO</v>
      </c>
      <c r="BO18" t="str">
        <f>"MOCOA"</f>
        <v>MOCOA</v>
      </c>
      <c r="BP18" t="str">
        <f>"PUTUMAYO"</f>
        <v>PUTUMAYO</v>
      </c>
      <c r="BQ18" t="str">
        <f>"MOCOA"</f>
        <v>MOCOA</v>
      </c>
    </row>
    <row r="19" spans="1:69" x14ac:dyDescent="0.25">
      <c r="A19" t="str">
        <f>"483322"</f>
        <v>483322</v>
      </c>
      <c r="B19" t="str">
        <f t="shared" si="0"/>
        <v>217</v>
      </c>
      <c r="C19" t="str">
        <f>"24/12/2025 12:00:00 a. m."</f>
        <v>24/12/2025 12:00:00 a. m.</v>
      </c>
      <c r="D19" t="str">
        <f>"46"</f>
        <v>46</v>
      </c>
      <c r="E19" t="str">
        <f t="shared" si="1"/>
        <v>2025</v>
      </c>
      <c r="F19" t="str">
        <f>"7683405751"</f>
        <v>7683405751</v>
      </c>
      <c r="G19" t="str">
        <f>"01"</f>
        <v>01</v>
      </c>
      <c r="H19" t="str">
        <f>"3"</f>
        <v>3</v>
      </c>
      <c r="I19" t="str">
        <f t="shared" si="2"/>
        <v>1</v>
      </c>
      <c r="J19" t="str">
        <f>"F"</f>
        <v>F</v>
      </c>
      <c r="K19" t="str">
        <f t="shared" si="31"/>
        <v>170</v>
      </c>
      <c r="L19" t="str">
        <f>"76"</f>
        <v>76</v>
      </c>
      <c r="M19" t="str">
        <f>"834"</f>
        <v>834</v>
      </c>
      <c r="N19" t="str">
        <f t="shared" si="24"/>
        <v>1</v>
      </c>
      <c r="O19" t="str">
        <f>"99999.07"</f>
        <v>99999.07</v>
      </c>
      <c r="P19" t="str">
        <f>"C"</f>
        <v>C</v>
      </c>
      <c r="Q19" t="str">
        <f>"EPS018"</f>
        <v>EPS018</v>
      </c>
      <c r="R19" t="str">
        <f t="shared" si="4"/>
        <v>6</v>
      </c>
      <c r="S19" t="str">
        <f>""</f>
        <v/>
      </c>
      <c r="T19" t="str">
        <f t="shared" si="5"/>
        <v xml:space="preserve">                                                                                                    </v>
      </c>
      <c r="U19" t="str">
        <f>"2         "</f>
        <v xml:space="preserve">2         </v>
      </c>
      <c r="V19" t="str">
        <f t="shared" si="29"/>
        <v>2</v>
      </c>
      <c r="W19" t="str">
        <f t="shared" si="29"/>
        <v>2</v>
      </c>
      <c r="X19" t="str">
        <f t="shared" si="32"/>
        <v>2</v>
      </c>
      <c r="Y19" t="str">
        <f t="shared" si="30"/>
        <v>2</v>
      </c>
      <c r="Z19" t="str">
        <f t="shared" si="30"/>
        <v>2</v>
      </c>
      <c r="AA19" t="str">
        <f t="shared" si="7"/>
        <v xml:space="preserve">          </v>
      </c>
      <c r="AB19" t="str">
        <f t="shared" si="25"/>
        <v>2</v>
      </c>
      <c r="AC19" t="str">
        <f t="shared" si="25"/>
        <v>2</v>
      </c>
      <c r="AD19" t="str">
        <f t="shared" si="25"/>
        <v>2</v>
      </c>
      <c r="AE19" t="str">
        <f t="shared" si="25"/>
        <v>2</v>
      </c>
      <c r="AF19" t="str">
        <f t="shared" si="25"/>
        <v>2</v>
      </c>
      <c r="AG19" t="str">
        <f t="shared" si="25"/>
        <v>2</v>
      </c>
      <c r="AH19" t="str">
        <f t="shared" si="33"/>
        <v>1</v>
      </c>
      <c r="AI19" t="str">
        <f>"3         "</f>
        <v xml:space="preserve">3         </v>
      </c>
      <c r="AJ19" t="str">
        <f t="shared" si="11"/>
        <v>170</v>
      </c>
      <c r="AK19" t="str">
        <f>"76"</f>
        <v>76</v>
      </c>
      <c r="AL19" t="str">
        <f>"834"</f>
        <v>834</v>
      </c>
      <c r="AM19" t="str">
        <f>"76"</f>
        <v>76</v>
      </c>
      <c r="AN19" t="str">
        <f>"76834"</f>
        <v>76834</v>
      </c>
      <c r="AO19" t="str">
        <f>"14/11/2025 12:00:00 a. m."</f>
        <v>14/11/2025 12:00:00 a. m.</v>
      </c>
      <c r="AP19" t="str">
        <f>"14/11/2025 12:00:00 a. m."</f>
        <v>14/11/2025 12:00:00 a. m.</v>
      </c>
      <c r="AQ19" t="str">
        <f>"3"</f>
        <v>3</v>
      </c>
      <c r="AR19" t="str">
        <f>"2"</f>
        <v>2</v>
      </c>
      <c r="AS19" t="str">
        <f>""</f>
        <v/>
      </c>
      <c r="AT19" t="str">
        <f t="shared" si="27"/>
        <v>1</v>
      </c>
      <c r="AU19" t="str">
        <f>""</f>
        <v/>
      </c>
      <c r="AV19" t="str">
        <f>"3"</f>
        <v>3</v>
      </c>
      <c r="AW19" t="str">
        <f>"22/06/2022 12:00:00 a. m."</f>
        <v>22/06/2022 12:00:00 a. m.</v>
      </c>
      <c r="AX19" t="str">
        <f>""</f>
        <v/>
      </c>
      <c r="AY19" t="str">
        <f>"26/12/2025 12:00:00 a. m."</f>
        <v>26/12/2025 12:00:00 a. m.</v>
      </c>
      <c r="AZ19" t="str">
        <f>"26/12/2025 12:00:00 a. m."</f>
        <v>26/12/2025 12:00:00 a. m.</v>
      </c>
      <c r="BA19" t="str">
        <f>""</f>
        <v/>
      </c>
      <c r="BB19" t="str">
        <f>""</f>
        <v/>
      </c>
      <c r="BC19" t="str">
        <f>""</f>
        <v/>
      </c>
      <c r="BD19" t="str">
        <f t="shared" si="28"/>
        <v>1</v>
      </c>
      <c r="BE19" t="str">
        <f t="shared" si="22"/>
        <v>1</v>
      </c>
      <c r="BF19" t="str">
        <f>"3         "</f>
        <v xml:space="preserve">3         </v>
      </c>
      <c r="BG19" t="str">
        <f>"Confirmado por laboratorio"</f>
        <v>Confirmado por laboratorio</v>
      </c>
      <c r="BH19" t="str">
        <f>"CLINICA SAN FRANCISCO SA"</f>
        <v>CLINICA SAN FRANCISCO SA</v>
      </c>
      <c r="BI19" t="str">
        <f t="shared" si="34"/>
        <v>COLOMBIA</v>
      </c>
      <c r="BJ19" t="str">
        <f t="shared" si="17"/>
        <v>CHIKUNGUNYA</v>
      </c>
      <c r="BK19" t="str">
        <f>"VALLE"</f>
        <v>VALLE</v>
      </c>
      <c r="BL19" t="str">
        <f>"TULUA"</f>
        <v>TULUA</v>
      </c>
      <c r="BM19" t="str">
        <f t="shared" si="18"/>
        <v>COLOMBIA</v>
      </c>
      <c r="BN19" t="str">
        <f>"VALLE"</f>
        <v>VALLE</v>
      </c>
      <c r="BO19" t="str">
        <f>"TULUA"</f>
        <v>TULUA</v>
      </c>
      <c r="BP19" t="str">
        <f>"VALLE"</f>
        <v>VALLE</v>
      </c>
      <c r="BQ19" t="str">
        <f>"TULUA"</f>
        <v>TULUA</v>
      </c>
    </row>
    <row r="20" spans="1:69" x14ac:dyDescent="0.25">
      <c r="A20" t="str">
        <f>"165996"</f>
        <v>165996</v>
      </c>
      <c r="B20" t="str">
        <f t="shared" si="0"/>
        <v>217</v>
      </c>
      <c r="C20" t="str">
        <f>"28/01/2025 12:00:00 a. m."</f>
        <v>28/01/2025 12:00:00 a. m.</v>
      </c>
      <c r="D20" t="str">
        <f>"04"</f>
        <v>04</v>
      </c>
      <c r="E20" t="str">
        <f t="shared" si="1"/>
        <v>2025</v>
      </c>
      <c r="F20" t="str">
        <f>"5031300749"</f>
        <v>5031300749</v>
      </c>
      <c r="G20" t="str">
        <f>"22"</f>
        <v>22</v>
      </c>
      <c r="H20" t="str">
        <f>"37"</f>
        <v>37</v>
      </c>
      <c r="I20" t="str">
        <f t="shared" si="2"/>
        <v>1</v>
      </c>
      <c r="J20" t="str">
        <f>"M"</f>
        <v>M</v>
      </c>
      <c r="K20" t="str">
        <f t="shared" si="31"/>
        <v>170</v>
      </c>
      <c r="L20" t="str">
        <f>"50"</f>
        <v>50</v>
      </c>
      <c r="M20" t="str">
        <f>"313"</f>
        <v>313</v>
      </c>
      <c r="N20" t="str">
        <f t="shared" si="24"/>
        <v>1</v>
      </c>
      <c r="O20" t="str">
        <f>"21661"</f>
        <v>21661</v>
      </c>
      <c r="P20" t="str">
        <f>"C"</f>
        <v>C</v>
      </c>
      <c r="Q20" t="str">
        <f>"EPS017"</f>
        <v>EPS017</v>
      </c>
      <c r="R20" t="str">
        <f t="shared" si="4"/>
        <v>6</v>
      </c>
      <c r="S20" t="str">
        <f>""</f>
        <v/>
      </c>
      <c r="T20" t="str">
        <f t="shared" si="5"/>
        <v xml:space="preserve">                                                                                                    </v>
      </c>
      <c r="U20" t="str">
        <f>"2         "</f>
        <v xml:space="preserve">2         </v>
      </c>
      <c r="V20" t="str">
        <f t="shared" si="29"/>
        <v>2</v>
      </c>
      <c r="W20" t="str">
        <f t="shared" si="29"/>
        <v>2</v>
      </c>
      <c r="X20" t="str">
        <f t="shared" si="32"/>
        <v>2</v>
      </c>
      <c r="Y20" t="str">
        <f t="shared" si="30"/>
        <v>2</v>
      </c>
      <c r="Z20" t="str">
        <f t="shared" si="30"/>
        <v>2</v>
      </c>
      <c r="AA20" t="str">
        <f t="shared" si="7"/>
        <v xml:space="preserve">          </v>
      </c>
      <c r="AB20" t="str">
        <f t="shared" si="25"/>
        <v>2</v>
      </c>
      <c r="AC20" t="str">
        <f t="shared" si="25"/>
        <v>2</v>
      </c>
      <c r="AD20" t="str">
        <f t="shared" si="25"/>
        <v>2</v>
      </c>
      <c r="AE20" t="str">
        <f t="shared" si="25"/>
        <v>2</v>
      </c>
      <c r="AF20" t="str">
        <f t="shared" si="25"/>
        <v>2</v>
      </c>
      <c r="AG20" t="str">
        <f t="shared" si="25"/>
        <v>2</v>
      </c>
      <c r="AH20" t="str">
        <f t="shared" si="33"/>
        <v>1</v>
      </c>
      <c r="AI20" t="str">
        <f t="shared" ref="AI20:AI26" si="35">"1         "</f>
        <v xml:space="preserve">1         </v>
      </c>
      <c r="AJ20" t="str">
        <f t="shared" si="11"/>
        <v>170</v>
      </c>
      <c r="AK20" t="str">
        <f>"50"</f>
        <v>50</v>
      </c>
      <c r="AL20" t="str">
        <f>"313"</f>
        <v>313</v>
      </c>
      <c r="AM20" t="str">
        <f>"50"</f>
        <v>50</v>
      </c>
      <c r="AN20" t="str">
        <f>"50313"</f>
        <v>50313</v>
      </c>
      <c r="AO20" t="str">
        <f>"28/01/2025 12:00:00 a. m."</f>
        <v>28/01/2025 12:00:00 a. m.</v>
      </c>
      <c r="AP20" t="str">
        <f>"24/01/2025 12:00:00 a. m."</f>
        <v>24/01/2025 12:00:00 a. m.</v>
      </c>
      <c r="AQ20" t="str">
        <f>"1"</f>
        <v>1</v>
      </c>
      <c r="AR20" t="str">
        <f>"2"</f>
        <v>2</v>
      </c>
      <c r="AS20" t="str">
        <f>""</f>
        <v/>
      </c>
      <c r="AT20" t="str">
        <f t="shared" si="27"/>
        <v>1</v>
      </c>
      <c r="AU20" t="str">
        <f>""</f>
        <v/>
      </c>
      <c r="AV20" t="str">
        <f>"4"</f>
        <v>4</v>
      </c>
      <c r="AW20" t="str">
        <f>"16/05/1987 12:00:00 a. m."</f>
        <v>16/05/1987 12:00:00 a. m.</v>
      </c>
      <c r="AX20" t="str">
        <f>""</f>
        <v/>
      </c>
      <c r="AY20" t="str">
        <f>"18/05/2025 12:00:00 a. m."</f>
        <v>18/05/2025 12:00:00 a. m.</v>
      </c>
      <c r="AZ20" t="str">
        <f>"18/05/2025 12:00:00 a. m."</f>
        <v>18/05/2025 12:00:00 a. m.</v>
      </c>
      <c r="BA20" t="str">
        <f>""</f>
        <v/>
      </c>
      <c r="BB20" t="str">
        <f>""</f>
        <v/>
      </c>
      <c r="BC20" t="str">
        <f>""</f>
        <v/>
      </c>
      <c r="BD20" t="str">
        <f t="shared" si="28"/>
        <v>1</v>
      </c>
      <c r="BE20" t="str">
        <f t="shared" si="22"/>
        <v>1</v>
      </c>
      <c r="BF20" t="str">
        <f>"4         "</f>
        <v xml:space="preserve">4         </v>
      </c>
      <c r="BG20" t="str">
        <f>"Confirmado por Clínica"</f>
        <v>Confirmado por Clínica</v>
      </c>
      <c r="BH20" t="str">
        <f>"MULTISALUD GRANADA CENTRO DE ESPECIALISTAS"</f>
        <v>MULTISALUD GRANADA CENTRO DE ESPECIALISTAS</v>
      </c>
      <c r="BI20" t="str">
        <f t="shared" si="34"/>
        <v>COLOMBIA</v>
      </c>
      <c r="BJ20" t="str">
        <f t="shared" si="17"/>
        <v>CHIKUNGUNYA</v>
      </c>
      <c r="BK20" t="str">
        <f>"META"</f>
        <v>META</v>
      </c>
      <c r="BL20" t="str">
        <f>"GRANADA"</f>
        <v>GRANADA</v>
      </c>
      <c r="BM20" t="str">
        <f t="shared" si="18"/>
        <v>COLOMBIA</v>
      </c>
      <c r="BN20" t="str">
        <f>"META"</f>
        <v>META</v>
      </c>
      <c r="BO20" t="str">
        <f>"GRANADA"</f>
        <v>GRANADA</v>
      </c>
      <c r="BP20" t="str">
        <f>"META"</f>
        <v>META</v>
      </c>
      <c r="BQ20" t="str">
        <f>"GRANADA"</f>
        <v>GRANADA</v>
      </c>
    </row>
    <row r="21" spans="1:69" x14ac:dyDescent="0.25">
      <c r="A21" t="str">
        <f>"486569"</f>
        <v>486569</v>
      </c>
      <c r="B21" t="str">
        <f t="shared" si="0"/>
        <v>217</v>
      </c>
      <c r="C21" t="str">
        <f>"22/12/2025 12:00:00 a. m."</f>
        <v>22/12/2025 12:00:00 a. m.</v>
      </c>
      <c r="D21" t="str">
        <f>"50"</f>
        <v>50</v>
      </c>
      <c r="E21" t="str">
        <f t="shared" si="1"/>
        <v>2025</v>
      </c>
      <c r="F21" t="str">
        <f>"5200101102"</f>
        <v>5200101102</v>
      </c>
      <c r="G21" t="str">
        <f>"01"</f>
        <v>01</v>
      </c>
      <c r="H21" t="str">
        <f>"50"</f>
        <v>50</v>
      </c>
      <c r="I21" t="str">
        <f t="shared" si="2"/>
        <v>1</v>
      </c>
      <c r="J21" t="str">
        <f>"F"</f>
        <v>F</v>
      </c>
      <c r="K21" t="str">
        <f t="shared" si="31"/>
        <v>170</v>
      </c>
      <c r="L21" t="str">
        <f>"86"</f>
        <v>86</v>
      </c>
      <c r="M21" t="str">
        <f>"757"</f>
        <v>757</v>
      </c>
      <c r="N21" t="str">
        <f>"3"</f>
        <v>3</v>
      </c>
      <c r="O21" t="str">
        <f>"99999.04"</f>
        <v>99999.04</v>
      </c>
      <c r="P21" t="str">
        <f>"S"</f>
        <v>S</v>
      </c>
      <c r="Q21" t="str">
        <f>"EPSS12"</f>
        <v>EPSS12</v>
      </c>
      <c r="R21" t="str">
        <f t="shared" si="4"/>
        <v>6</v>
      </c>
      <c r="S21" t="str">
        <f>""</f>
        <v/>
      </c>
      <c r="T21" t="str">
        <f t="shared" si="5"/>
        <v xml:space="preserve">                                                                                                    </v>
      </c>
      <c r="U21" t="str">
        <f>"1         "</f>
        <v xml:space="preserve">1         </v>
      </c>
      <c r="V21" t="str">
        <f t="shared" si="29"/>
        <v>2</v>
      </c>
      <c r="W21" t="str">
        <f t="shared" si="29"/>
        <v>2</v>
      </c>
      <c r="X21" t="str">
        <f t="shared" si="32"/>
        <v>2</v>
      </c>
      <c r="Y21" t="str">
        <f t="shared" si="30"/>
        <v>2</v>
      </c>
      <c r="Z21" t="str">
        <f t="shared" si="30"/>
        <v>2</v>
      </c>
      <c r="AA21" t="str">
        <f t="shared" si="7"/>
        <v xml:space="preserve">          </v>
      </c>
      <c r="AB21" t="str">
        <f t="shared" si="25"/>
        <v>2</v>
      </c>
      <c r="AC21" t="str">
        <f t="shared" si="25"/>
        <v>2</v>
      </c>
      <c r="AD21" t="str">
        <f t="shared" si="25"/>
        <v>2</v>
      </c>
      <c r="AE21" t="str">
        <f t="shared" si="25"/>
        <v>2</v>
      </c>
      <c r="AF21" t="str">
        <f t="shared" si="25"/>
        <v>2</v>
      </c>
      <c r="AG21" t="str">
        <f t="shared" si="25"/>
        <v>2</v>
      </c>
      <c r="AH21" t="str">
        <f t="shared" si="33"/>
        <v>1</v>
      </c>
      <c r="AI21" t="str">
        <f t="shared" si="35"/>
        <v xml:space="preserve">1         </v>
      </c>
      <c r="AJ21" t="str">
        <f t="shared" si="11"/>
        <v>170</v>
      </c>
      <c r="AK21" t="str">
        <f>"86"</f>
        <v>86</v>
      </c>
      <c r="AL21" t="str">
        <f>"757"</f>
        <v>757</v>
      </c>
      <c r="AM21" t="str">
        <f>"52"</f>
        <v>52</v>
      </c>
      <c r="AN21" t="str">
        <f>"52001"</f>
        <v>52001</v>
      </c>
      <c r="AO21" t="str">
        <f>"16/12/2025 12:00:00 a. m."</f>
        <v>16/12/2025 12:00:00 a. m.</v>
      </c>
      <c r="AP21" t="str">
        <f>"12/12/2025 12:00:00 a. m."</f>
        <v>12/12/2025 12:00:00 a. m.</v>
      </c>
      <c r="AQ21" t="str">
        <f>"1"</f>
        <v>1</v>
      </c>
      <c r="AR21" t="str">
        <f>"1"</f>
        <v>1</v>
      </c>
      <c r="AS21" t="str">
        <f>"16/12/2025 12:00:00 a. m."</f>
        <v>16/12/2025 12:00:00 a. m.</v>
      </c>
      <c r="AT21" t="str">
        <f t="shared" si="27"/>
        <v>1</v>
      </c>
      <c r="AU21" t="str">
        <f>""</f>
        <v/>
      </c>
      <c r="AV21" t="str">
        <f>"4"</f>
        <v>4</v>
      </c>
      <c r="AW21" t="str">
        <f>"13/03/1975 12:00:00 a. m."</f>
        <v>13/03/1975 12:00:00 a. m.</v>
      </c>
      <c r="AX21" t="str">
        <f>""</f>
        <v/>
      </c>
      <c r="AY21" t="str">
        <f>"22/12/2025 12:00:00 a. m."</f>
        <v>22/12/2025 12:00:00 a. m.</v>
      </c>
      <c r="AZ21" t="str">
        <f>"22/12/2025 12:00:00 a. m."</f>
        <v>22/12/2025 12:00:00 a. m.</v>
      </c>
      <c r="BA21" t="str">
        <f>""</f>
        <v/>
      </c>
      <c r="BB21" t="str">
        <f>""</f>
        <v/>
      </c>
      <c r="BC21" t="str">
        <f>""</f>
        <v/>
      </c>
      <c r="BD21" t="str">
        <f t="shared" si="28"/>
        <v>1</v>
      </c>
      <c r="BE21" t="str">
        <f t="shared" si="22"/>
        <v>1</v>
      </c>
      <c r="BF21" t="str">
        <f>"4         "</f>
        <v xml:space="preserve">4         </v>
      </c>
      <c r="BG21" t="str">
        <f>"Confirmado por Clínica"</f>
        <v>Confirmado por Clínica</v>
      </c>
      <c r="BH21" t="str">
        <f>"HOSPITAL UNIVERSITARIO DEPARTAMENTAL DE NARIÑO"</f>
        <v>HOSPITAL UNIVERSITARIO DEPARTAMENTAL DE NARIÑO</v>
      </c>
      <c r="BI21" t="str">
        <f t="shared" si="34"/>
        <v>COLOMBIA</v>
      </c>
      <c r="BJ21" t="str">
        <f t="shared" si="17"/>
        <v>CHIKUNGUNYA</v>
      </c>
      <c r="BK21" t="str">
        <f>"PUTUMAYO"</f>
        <v>PUTUMAYO</v>
      </c>
      <c r="BL21" t="str">
        <f>"SAN MIGUEL (LA DORADA)"</f>
        <v>SAN MIGUEL (LA DORADA)</v>
      </c>
      <c r="BM21" t="str">
        <f t="shared" si="18"/>
        <v>COLOMBIA</v>
      </c>
      <c r="BN21" t="str">
        <f>"PUTUMAYO"</f>
        <v>PUTUMAYO</v>
      </c>
      <c r="BO21" t="str">
        <f>"SAN MIGUEL (LA DORADA)"</f>
        <v>SAN MIGUEL (LA DORADA)</v>
      </c>
      <c r="BP21" t="str">
        <f>"NARIÑO"</f>
        <v>NARIÑO</v>
      </c>
      <c r="BQ21" t="str">
        <f>"PASTO"</f>
        <v>PASTO</v>
      </c>
    </row>
    <row r="22" spans="1:69" x14ac:dyDescent="0.25">
      <c r="A22" t="str">
        <f>"166030"</f>
        <v>166030</v>
      </c>
      <c r="B22" t="str">
        <f t="shared" si="0"/>
        <v>217</v>
      </c>
      <c r="C22" t="str">
        <f>"18/11/2025 12:00:00 a. m."</f>
        <v>18/11/2025 12:00:00 a. m.</v>
      </c>
      <c r="D22" t="str">
        <f>"46"</f>
        <v>46</v>
      </c>
      <c r="E22" t="str">
        <f t="shared" si="1"/>
        <v>2025</v>
      </c>
      <c r="F22" t="str">
        <f>"1383600693"</f>
        <v>1383600693</v>
      </c>
      <c r="G22" t="str">
        <f>"02"</f>
        <v>02</v>
      </c>
      <c r="H22" t="str">
        <f>"20"</f>
        <v>20</v>
      </c>
      <c r="I22" t="str">
        <f t="shared" si="2"/>
        <v>1</v>
      </c>
      <c r="J22" t="str">
        <f>"M"</f>
        <v>M</v>
      </c>
      <c r="K22" t="str">
        <f t="shared" si="31"/>
        <v>170</v>
      </c>
      <c r="L22" t="str">
        <f>"13"</f>
        <v>13</v>
      </c>
      <c r="M22" t="str">
        <f>"836"</f>
        <v>836</v>
      </c>
      <c r="N22" t="str">
        <f>"1"</f>
        <v>1</v>
      </c>
      <c r="O22" t="str">
        <f>"33417"</f>
        <v>33417</v>
      </c>
      <c r="P22" t="str">
        <f>"S"</f>
        <v>S</v>
      </c>
      <c r="Q22" t="str">
        <f>"ESS207"</f>
        <v>ESS207</v>
      </c>
      <c r="R22" t="str">
        <f t="shared" si="4"/>
        <v>6</v>
      </c>
      <c r="S22" t="str">
        <f>""</f>
        <v/>
      </c>
      <c r="T22" t="str">
        <f t="shared" si="5"/>
        <v xml:space="preserve">                                                                                                    </v>
      </c>
      <c r="U22" t="str">
        <f>"1         "</f>
        <v xml:space="preserve">1         </v>
      </c>
      <c r="V22" t="str">
        <f t="shared" si="29"/>
        <v>2</v>
      </c>
      <c r="W22" t="str">
        <f t="shared" si="29"/>
        <v>2</v>
      </c>
      <c r="X22" t="str">
        <f t="shared" si="32"/>
        <v>2</v>
      </c>
      <c r="Y22" t="str">
        <f t="shared" si="30"/>
        <v>2</v>
      </c>
      <c r="Z22" t="str">
        <f t="shared" si="30"/>
        <v>2</v>
      </c>
      <c r="AA22" t="str">
        <f t="shared" si="7"/>
        <v xml:space="preserve">          </v>
      </c>
      <c r="AB22" t="str">
        <f t="shared" si="25"/>
        <v>2</v>
      </c>
      <c r="AC22" t="str">
        <f t="shared" si="25"/>
        <v>2</v>
      </c>
      <c r="AD22" t="str">
        <f t="shared" si="25"/>
        <v>2</v>
      </c>
      <c r="AE22" t="str">
        <f t="shared" si="25"/>
        <v>2</v>
      </c>
      <c r="AF22" t="str">
        <f t="shared" si="25"/>
        <v>2</v>
      </c>
      <c r="AG22" t="str">
        <f t="shared" si="25"/>
        <v>2</v>
      </c>
      <c r="AH22" t="str">
        <f t="shared" si="33"/>
        <v>1</v>
      </c>
      <c r="AI22" t="str">
        <f t="shared" si="35"/>
        <v xml:space="preserve">1         </v>
      </c>
      <c r="AJ22" t="str">
        <f t="shared" si="11"/>
        <v>170</v>
      </c>
      <c r="AK22" t="str">
        <f>"13"</f>
        <v>13</v>
      </c>
      <c r="AL22" t="str">
        <f>"836"</f>
        <v>836</v>
      </c>
      <c r="AM22" t="str">
        <f>"13"</f>
        <v>13</v>
      </c>
      <c r="AN22" t="str">
        <f>"13836"</f>
        <v>13836</v>
      </c>
      <c r="AO22" t="str">
        <f>"18/11/2025 12:00:00 a. m."</f>
        <v>18/11/2025 12:00:00 a. m.</v>
      </c>
      <c r="AP22" t="str">
        <f>"10/11/2025 12:00:00 a. m."</f>
        <v>10/11/2025 12:00:00 a. m.</v>
      </c>
      <c r="AQ22" t="str">
        <f>"1"</f>
        <v>1</v>
      </c>
      <c r="AR22" t="str">
        <f>"2"</f>
        <v>2</v>
      </c>
      <c r="AS22" t="str">
        <f>""</f>
        <v/>
      </c>
      <c r="AT22" t="str">
        <f t="shared" si="27"/>
        <v>1</v>
      </c>
      <c r="AU22" t="str">
        <f>""</f>
        <v/>
      </c>
      <c r="AV22" t="str">
        <f>"4"</f>
        <v>4</v>
      </c>
      <c r="AW22" t="str">
        <f>"4/07/2005 12:00:00 a. m."</f>
        <v>4/07/2005 12:00:00 a. m.</v>
      </c>
      <c r="AX22" t="str">
        <f>""</f>
        <v/>
      </c>
      <c r="AY22" t="str">
        <f>"24/11/2025 12:00:00 a. m."</f>
        <v>24/11/2025 12:00:00 a. m.</v>
      </c>
      <c r="AZ22" t="str">
        <f>"24/11/2025 12:00:00 a. m."</f>
        <v>24/11/2025 12:00:00 a. m.</v>
      </c>
      <c r="BA22" t="str">
        <f>""</f>
        <v/>
      </c>
      <c r="BB22" t="str">
        <f>""</f>
        <v/>
      </c>
      <c r="BC22" t="str">
        <f>""</f>
        <v/>
      </c>
      <c r="BD22" t="str">
        <f t="shared" si="28"/>
        <v>1</v>
      </c>
      <c r="BE22" t="str">
        <f t="shared" si="22"/>
        <v>1</v>
      </c>
      <c r="BF22" t="str">
        <f>"4         "</f>
        <v xml:space="preserve">4         </v>
      </c>
      <c r="BG22" t="str">
        <f>"Confirmado por Clínica"</f>
        <v>Confirmado por Clínica</v>
      </c>
      <c r="BH22" t="str">
        <f>"FUNDACION SERSOCIAL IPS SEDE TURBACO"</f>
        <v>FUNDACION SERSOCIAL IPS SEDE TURBACO</v>
      </c>
      <c r="BI22" t="str">
        <f t="shared" si="34"/>
        <v>COLOMBIA</v>
      </c>
      <c r="BJ22" t="str">
        <f t="shared" si="17"/>
        <v>CHIKUNGUNYA</v>
      </c>
      <c r="BK22" t="str">
        <f>"BOLIVAR"</f>
        <v>BOLIVAR</v>
      </c>
      <c r="BL22" t="str">
        <f>"TURBACO"</f>
        <v>TURBACO</v>
      </c>
      <c r="BM22" t="str">
        <f t="shared" si="18"/>
        <v>COLOMBIA</v>
      </c>
      <c r="BN22" t="str">
        <f>"BOLIVAR"</f>
        <v>BOLIVAR</v>
      </c>
      <c r="BO22" t="str">
        <f>"TURBACO"</f>
        <v>TURBACO</v>
      </c>
      <c r="BP22" t="str">
        <f>"BOLIVAR"</f>
        <v>BOLIVAR</v>
      </c>
      <c r="BQ22" t="str">
        <f>"TURBACO"</f>
        <v>TURBACO</v>
      </c>
    </row>
    <row r="23" spans="1:69" x14ac:dyDescent="0.25">
      <c r="A23" t="str">
        <f>"469512"</f>
        <v>469512</v>
      </c>
      <c r="B23" t="str">
        <f t="shared" si="0"/>
        <v>217</v>
      </c>
      <c r="C23" t="str">
        <f>"13/11/2025 12:00:00 a. m."</f>
        <v>13/11/2025 12:00:00 a. m.</v>
      </c>
      <c r="D23" t="str">
        <f>"45"</f>
        <v>45</v>
      </c>
      <c r="E23" t="str">
        <f t="shared" si="1"/>
        <v>2025</v>
      </c>
      <c r="F23" t="str">
        <f>"4700101539"</f>
        <v>4700101539</v>
      </c>
      <c r="G23" t="str">
        <f>"01"</f>
        <v>01</v>
      </c>
      <c r="H23" t="str">
        <f>"30"</f>
        <v>30</v>
      </c>
      <c r="I23" t="str">
        <f t="shared" si="2"/>
        <v>1</v>
      </c>
      <c r="J23" t="str">
        <f>"F"</f>
        <v>F</v>
      </c>
      <c r="K23" t="str">
        <f t="shared" si="31"/>
        <v>170</v>
      </c>
      <c r="L23" t="str">
        <f>"47"</f>
        <v>47</v>
      </c>
      <c r="M23" t="str">
        <f>"001"</f>
        <v>001</v>
      </c>
      <c r="N23" t="str">
        <f>"1"</f>
        <v>1</v>
      </c>
      <c r="O23" t="str">
        <f>"22210"</f>
        <v>22210</v>
      </c>
      <c r="P23" t="str">
        <f>"C"</f>
        <v>C</v>
      </c>
      <c r="Q23" t="str">
        <f>"EPS037"</f>
        <v>EPS037</v>
      </c>
      <c r="R23" t="str">
        <f t="shared" si="4"/>
        <v>6</v>
      </c>
      <c r="S23" t="str">
        <f>""</f>
        <v/>
      </c>
      <c r="T23" t="str">
        <f t="shared" si="5"/>
        <v xml:space="preserve">                                                                                                    </v>
      </c>
      <c r="U23" t="str">
        <f>"3         "</f>
        <v xml:space="preserve">3         </v>
      </c>
      <c r="V23" t="str">
        <f t="shared" si="29"/>
        <v>2</v>
      </c>
      <c r="W23" t="str">
        <f t="shared" si="29"/>
        <v>2</v>
      </c>
      <c r="X23" t="str">
        <f t="shared" si="32"/>
        <v>2</v>
      </c>
      <c r="Y23" t="str">
        <f t="shared" si="30"/>
        <v>2</v>
      </c>
      <c r="Z23" t="str">
        <f t="shared" si="30"/>
        <v>2</v>
      </c>
      <c r="AA23" t="str">
        <f t="shared" si="7"/>
        <v xml:space="preserve">          </v>
      </c>
      <c r="AB23" t="str">
        <f t="shared" si="25"/>
        <v>2</v>
      </c>
      <c r="AC23" t="str">
        <f t="shared" si="25"/>
        <v>2</v>
      </c>
      <c r="AD23" t="str">
        <f t="shared" si="25"/>
        <v>2</v>
      </c>
      <c r="AE23" t="str">
        <f t="shared" si="25"/>
        <v>2</v>
      </c>
      <c r="AF23" t="str">
        <f t="shared" si="25"/>
        <v>2</v>
      </c>
      <c r="AG23" t="str">
        <f t="shared" si="25"/>
        <v>2</v>
      </c>
      <c r="AH23" t="str">
        <f t="shared" si="33"/>
        <v>1</v>
      </c>
      <c r="AI23" t="str">
        <f t="shared" si="35"/>
        <v xml:space="preserve">1         </v>
      </c>
      <c r="AJ23" t="str">
        <f t="shared" si="11"/>
        <v>170</v>
      </c>
      <c r="AK23" t="str">
        <f>"47"</f>
        <v>47</v>
      </c>
      <c r="AL23" t="str">
        <f>"001"</f>
        <v>001</v>
      </c>
      <c r="AM23" t="str">
        <f>"47"</f>
        <v>47</v>
      </c>
      <c r="AN23" t="str">
        <f>"47001"</f>
        <v>47001</v>
      </c>
      <c r="AO23" t="str">
        <f>"9/11/2025 12:00:00 a. m."</f>
        <v>9/11/2025 12:00:00 a. m.</v>
      </c>
      <c r="AP23" t="str">
        <f>"7/11/2025 12:00:00 a. m."</f>
        <v>7/11/2025 12:00:00 a. m.</v>
      </c>
      <c r="AQ23" t="str">
        <f>"1"</f>
        <v>1</v>
      </c>
      <c r="AR23" t="str">
        <f>"1"</f>
        <v>1</v>
      </c>
      <c r="AS23" t="str">
        <f>"9/11/2025 12:00:00 a. m."</f>
        <v>9/11/2025 12:00:00 a. m.</v>
      </c>
      <c r="AT23" t="str">
        <f t="shared" si="27"/>
        <v>1</v>
      </c>
      <c r="AU23" t="str">
        <f>""</f>
        <v/>
      </c>
      <c r="AV23" t="str">
        <f>"4"</f>
        <v>4</v>
      </c>
      <c r="AW23" t="str">
        <f>"16/08/1995 12:00:00 a. m."</f>
        <v>16/08/1995 12:00:00 a. m.</v>
      </c>
      <c r="AX23" t="str">
        <f>""</f>
        <v/>
      </c>
      <c r="AY23" t="str">
        <f>"17/12/2025 12:00:00 a. m."</f>
        <v>17/12/2025 12:00:00 a. m.</v>
      </c>
      <c r="AZ23" t="str">
        <f>"17/12/2025 12:00:00 a. m."</f>
        <v>17/12/2025 12:00:00 a. m.</v>
      </c>
      <c r="BA23" t="str">
        <f>""</f>
        <v/>
      </c>
      <c r="BB23" t="str">
        <f>""</f>
        <v/>
      </c>
      <c r="BC23" t="str">
        <f>""</f>
        <v/>
      </c>
      <c r="BD23" t="str">
        <f t="shared" si="28"/>
        <v>1</v>
      </c>
      <c r="BE23" t="str">
        <f t="shared" si="22"/>
        <v>1</v>
      </c>
      <c r="BF23" t="str">
        <f>"4         "</f>
        <v xml:space="preserve">4         </v>
      </c>
      <c r="BG23" t="str">
        <f>"Confirmado por Clínica"</f>
        <v>Confirmado por Clínica</v>
      </c>
      <c r="BH23" t="str">
        <f>"AVIDANTI SAS"</f>
        <v>AVIDANTI SAS</v>
      </c>
      <c r="BI23" t="str">
        <f t="shared" si="34"/>
        <v>COLOMBIA</v>
      </c>
      <c r="BJ23" t="str">
        <f t="shared" si="17"/>
        <v>CHIKUNGUNYA</v>
      </c>
      <c r="BK23" t="str">
        <f>"MAGDALENA"</f>
        <v>MAGDALENA</v>
      </c>
      <c r="BL23" t="str">
        <f>"SANTA MARTA"</f>
        <v>SANTA MARTA</v>
      </c>
      <c r="BM23" t="str">
        <f t="shared" si="18"/>
        <v>COLOMBIA</v>
      </c>
      <c r="BN23" t="str">
        <f>"MAGDALENA"</f>
        <v>MAGDALENA</v>
      </c>
      <c r="BO23" t="str">
        <f>"SANTA MARTA"</f>
        <v>SANTA MARTA</v>
      </c>
      <c r="BP23" t="str">
        <f>"MAGDALENA"</f>
        <v>MAGDALENA</v>
      </c>
      <c r="BQ23" t="str">
        <f>"SANTA MARTA"</f>
        <v>SANTA MARTA</v>
      </c>
    </row>
    <row r="24" spans="1:69" x14ac:dyDescent="0.25">
      <c r="A24" t="str">
        <f>"469503"</f>
        <v>469503</v>
      </c>
      <c r="B24" t="str">
        <f t="shared" si="0"/>
        <v>217</v>
      </c>
      <c r="C24" t="str">
        <f>"6/03/2025 12:00:00 a. m."</f>
        <v>6/03/2025 12:00:00 a. m.</v>
      </c>
      <c r="D24" t="str">
        <f>"10"</f>
        <v>10</v>
      </c>
      <c r="E24" t="str">
        <f t="shared" si="1"/>
        <v>2025</v>
      </c>
      <c r="F24" t="str">
        <f>"1100104035"</f>
        <v>1100104035</v>
      </c>
      <c r="G24" t="str">
        <f>"15"</f>
        <v>15</v>
      </c>
      <c r="H24" t="str">
        <f>"26"</f>
        <v>26</v>
      </c>
      <c r="I24" t="str">
        <f t="shared" si="2"/>
        <v>1</v>
      </c>
      <c r="J24" t="str">
        <f>"F"</f>
        <v>F</v>
      </c>
      <c r="K24" t="str">
        <f t="shared" si="31"/>
        <v>170</v>
      </c>
      <c r="L24" t="str">
        <f>"94"</f>
        <v>94</v>
      </c>
      <c r="M24" t="str">
        <f>"001"</f>
        <v>001</v>
      </c>
      <c r="N24" t="str">
        <f>"2"</f>
        <v>2</v>
      </c>
      <c r="O24" t="str">
        <f>"24210"</f>
        <v>24210</v>
      </c>
      <c r="P24" t="str">
        <f>"C"</f>
        <v>C</v>
      </c>
      <c r="Q24" t="str">
        <f>"EPS008"</f>
        <v>EPS008</v>
      </c>
      <c r="R24" t="str">
        <f t="shared" si="4"/>
        <v>6</v>
      </c>
      <c r="S24" t="str">
        <f>""</f>
        <v/>
      </c>
      <c r="T24" t="str">
        <f t="shared" si="5"/>
        <v xml:space="preserve">                                                                                                    </v>
      </c>
      <c r="U24" t="str">
        <f>"3         "</f>
        <v xml:space="preserve">3         </v>
      </c>
      <c r="V24" t="str">
        <f t="shared" si="29"/>
        <v>2</v>
      </c>
      <c r="W24" t="str">
        <f t="shared" si="29"/>
        <v>2</v>
      </c>
      <c r="X24" t="str">
        <f t="shared" si="32"/>
        <v>2</v>
      </c>
      <c r="Y24" t="str">
        <f t="shared" si="30"/>
        <v>2</v>
      </c>
      <c r="Z24" t="str">
        <f t="shared" si="30"/>
        <v>2</v>
      </c>
      <c r="AA24" t="str">
        <f t="shared" si="7"/>
        <v xml:space="preserve">          </v>
      </c>
      <c r="AB24" t="str">
        <f t="shared" si="25"/>
        <v>2</v>
      </c>
      <c r="AC24" t="str">
        <f t="shared" si="25"/>
        <v>2</v>
      </c>
      <c r="AD24" t="str">
        <f t="shared" si="25"/>
        <v>2</v>
      </c>
      <c r="AE24" t="str">
        <f t="shared" si="25"/>
        <v>2</v>
      </c>
      <c r="AF24" t="str">
        <f t="shared" si="25"/>
        <v>2</v>
      </c>
      <c r="AG24" t="str">
        <f t="shared" si="25"/>
        <v>2</v>
      </c>
      <c r="AH24" t="str">
        <f t="shared" si="33"/>
        <v>1</v>
      </c>
      <c r="AI24" t="str">
        <f t="shared" si="35"/>
        <v xml:space="preserve">1         </v>
      </c>
      <c r="AJ24" t="str">
        <f t="shared" si="11"/>
        <v>170</v>
      </c>
      <c r="AK24" t="str">
        <f>"25"</f>
        <v>25</v>
      </c>
      <c r="AL24" t="str">
        <f>"843"</f>
        <v>843</v>
      </c>
      <c r="AM24" t="str">
        <f>"11"</f>
        <v>11</v>
      </c>
      <c r="AN24" t="str">
        <f>"11001"</f>
        <v>11001</v>
      </c>
      <c r="AO24" t="str">
        <f>"5/03/2025 12:00:00 a. m."</f>
        <v>5/03/2025 12:00:00 a. m.</v>
      </c>
      <c r="AP24" t="str">
        <f>"4/03/2025 12:00:00 a. m."</f>
        <v>4/03/2025 12:00:00 a. m.</v>
      </c>
      <c r="AQ24" t="str">
        <f>"4"</f>
        <v>4</v>
      </c>
      <c r="AR24" t="str">
        <f>"2"</f>
        <v>2</v>
      </c>
      <c r="AS24" t="str">
        <f>""</f>
        <v/>
      </c>
      <c r="AT24" t="str">
        <f t="shared" si="27"/>
        <v>1</v>
      </c>
      <c r="AU24" t="str">
        <f>""</f>
        <v/>
      </c>
      <c r="AV24" t="str">
        <f>"0"</f>
        <v>0</v>
      </c>
      <c r="AW24" t="str">
        <f>"5/11/1998 12:00:00 a. m."</f>
        <v>5/11/1998 12:00:00 a. m.</v>
      </c>
      <c r="AX24" t="str">
        <f>""</f>
        <v/>
      </c>
      <c r="AY24" t="str">
        <f>"6/03/2025 12:00:00 a. m."</f>
        <v>6/03/2025 12:00:00 a. m.</v>
      </c>
      <c r="AZ24" t="str">
        <f>"6/03/2025 12:00:00 a. m."</f>
        <v>6/03/2025 12:00:00 a. m.</v>
      </c>
      <c r="BA24" t="str">
        <f>""</f>
        <v/>
      </c>
      <c r="BB24" t="str">
        <f>""</f>
        <v/>
      </c>
      <c r="BC24" t="str">
        <f>""</f>
        <v/>
      </c>
      <c r="BD24" t="str">
        <f t="shared" si="28"/>
        <v>1</v>
      </c>
      <c r="BE24" t="str">
        <f t="shared" si="22"/>
        <v>1</v>
      </c>
      <c r="BF24" t="str">
        <f>"4         "</f>
        <v xml:space="preserve">4         </v>
      </c>
      <c r="BG24" t="str">
        <f>"Confirmado por Clínica"</f>
        <v>Confirmado por Clínica</v>
      </c>
      <c r="BH24" t="str">
        <f>"CENTRO MEDICO COLMEDICA SEDE PLAZA CENTRAL"</f>
        <v>CENTRO MEDICO COLMEDICA SEDE PLAZA CENTRAL</v>
      </c>
      <c r="BI24" t="str">
        <f t="shared" si="34"/>
        <v>COLOMBIA</v>
      </c>
      <c r="BJ24" t="str">
        <f t="shared" si="17"/>
        <v>CHIKUNGUNYA</v>
      </c>
      <c r="BK24" t="str">
        <f>"GUAINIA"</f>
        <v>GUAINIA</v>
      </c>
      <c r="BL24" t="str">
        <f>"PUERTO INIRIDA"</f>
        <v>PUERTO INIRIDA</v>
      </c>
      <c r="BM24" t="str">
        <f t="shared" si="18"/>
        <v>COLOMBIA</v>
      </c>
      <c r="BN24" t="str">
        <f>"CUNDINAMARCA"</f>
        <v>CUNDINAMARCA</v>
      </c>
      <c r="BO24" t="str">
        <f>"UBATE"</f>
        <v>UBATE</v>
      </c>
      <c r="BP24" t="str">
        <f>"BOGOTA"</f>
        <v>BOGOTA</v>
      </c>
      <c r="BQ24" t="str">
        <f>"BOGOTA"</f>
        <v>BOGOTA</v>
      </c>
    </row>
    <row r="25" spans="1:69" x14ac:dyDescent="0.25">
      <c r="A25" t="str">
        <f>"486567"</f>
        <v>486567</v>
      </c>
      <c r="B25" t="str">
        <f t="shared" si="0"/>
        <v>217</v>
      </c>
      <c r="C25" t="str">
        <f>"27/10/2025 12:00:00 a. m."</f>
        <v>27/10/2025 12:00:00 a. m.</v>
      </c>
      <c r="D25" t="str">
        <f>"43"</f>
        <v>43</v>
      </c>
      <c r="E25" t="str">
        <f t="shared" si="1"/>
        <v>2025</v>
      </c>
      <c r="F25" t="str">
        <f>"2528602522"</f>
        <v>2528602522</v>
      </c>
      <c r="G25" t="str">
        <f>"01"</f>
        <v>01</v>
      </c>
      <c r="H25" t="str">
        <f>"43"</f>
        <v>43</v>
      </c>
      <c r="I25" t="str">
        <f t="shared" si="2"/>
        <v>1</v>
      </c>
      <c r="J25" t="str">
        <f>"F"</f>
        <v>F</v>
      </c>
      <c r="K25" t="str">
        <f>"192"</f>
        <v>192</v>
      </c>
      <c r="L25" t="str">
        <f>"01"</f>
        <v>01</v>
      </c>
      <c r="M25" t="str">
        <f>"192"</f>
        <v>192</v>
      </c>
      <c r="N25" t="str">
        <f>"1"</f>
        <v>1</v>
      </c>
      <c r="O25" t="str">
        <f>"42299"</f>
        <v>42299</v>
      </c>
      <c r="P25" t="str">
        <f>"C"</f>
        <v>C</v>
      </c>
      <c r="Q25" t="str">
        <f>"EPS008"</f>
        <v>EPS008</v>
      </c>
      <c r="R25" t="str">
        <f t="shared" si="4"/>
        <v>6</v>
      </c>
      <c r="S25" t="str">
        <f>""</f>
        <v/>
      </c>
      <c r="T25" t="str">
        <f t="shared" si="5"/>
        <v xml:space="preserve">                                                                                                    </v>
      </c>
      <c r="U25" t="str">
        <f>"3         "</f>
        <v xml:space="preserve">3         </v>
      </c>
      <c r="V25" t="str">
        <f t="shared" si="29"/>
        <v>2</v>
      </c>
      <c r="W25" t="str">
        <f t="shared" si="29"/>
        <v>2</v>
      </c>
      <c r="X25" t="str">
        <f t="shared" si="32"/>
        <v>2</v>
      </c>
      <c r="Y25" t="str">
        <f t="shared" si="30"/>
        <v>2</v>
      </c>
      <c r="Z25" t="str">
        <f t="shared" si="30"/>
        <v>2</v>
      </c>
      <c r="AA25" t="str">
        <f t="shared" si="7"/>
        <v xml:space="preserve">          </v>
      </c>
      <c r="AB25" t="str">
        <f t="shared" si="25"/>
        <v>2</v>
      </c>
      <c r="AC25" t="str">
        <f t="shared" si="25"/>
        <v>2</v>
      </c>
      <c r="AD25" t="str">
        <f t="shared" si="25"/>
        <v>2</v>
      </c>
      <c r="AE25" t="str">
        <f t="shared" si="25"/>
        <v>2</v>
      </c>
      <c r="AF25" t="str">
        <f t="shared" si="25"/>
        <v>2</v>
      </c>
      <c r="AG25" t="str">
        <f t="shared" si="25"/>
        <v>2</v>
      </c>
      <c r="AH25" t="str">
        <f t="shared" si="33"/>
        <v>1</v>
      </c>
      <c r="AI25" t="str">
        <f t="shared" si="35"/>
        <v xml:space="preserve">1         </v>
      </c>
      <c r="AJ25" t="str">
        <f t="shared" si="11"/>
        <v>170</v>
      </c>
      <c r="AK25" t="str">
        <f>"25"</f>
        <v>25</v>
      </c>
      <c r="AL25" t="str">
        <f>"286"</f>
        <v>286</v>
      </c>
      <c r="AM25" t="str">
        <f>"25"</f>
        <v>25</v>
      </c>
      <c r="AN25" t="str">
        <f>"25286"</f>
        <v>25286</v>
      </c>
      <c r="AO25" t="str">
        <f>"26/10/2025 12:00:00 a. m."</f>
        <v>26/10/2025 12:00:00 a. m.</v>
      </c>
      <c r="AP25" t="str">
        <f>"23/10/2025 12:00:00 a. m."</f>
        <v>23/10/2025 12:00:00 a. m.</v>
      </c>
      <c r="AQ25" t="str">
        <f>"3"</f>
        <v>3</v>
      </c>
      <c r="AR25" t="str">
        <f>"2"</f>
        <v>2</v>
      </c>
      <c r="AS25" t="str">
        <f>""</f>
        <v/>
      </c>
      <c r="AT25" t="str">
        <f t="shared" si="27"/>
        <v>1</v>
      </c>
      <c r="AU25" t="str">
        <f>""</f>
        <v/>
      </c>
      <c r="AV25" t="str">
        <f>"3"</f>
        <v>3</v>
      </c>
      <c r="AW25" t="str">
        <f>"2/02/1982 12:00:00 a. m."</f>
        <v>2/02/1982 12:00:00 a. m.</v>
      </c>
      <c r="AX25" t="str">
        <f>""</f>
        <v/>
      </c>
      <c r="AY25" t="str">
        <f>"26/02/2026 12:00:00 a. m."</f>
        <v>26/02/2026 12:00:00 a. m.</v>
      </c>
      <c r="AZ25" t="str">
        <f>"26/02/2026 12:00:00 a. m."</f>
        <v>26/02/2026 12:00:00 a. m.</v>
      </c>
      <c r="BA25" t="str">
        <f>""</f>
        <v/>
      </c>
      <c r="BB25" t="str">
        <f>""</f>
        <v/>
      </c>
      <c r="BC25" t="str">
        <f>""</f>
        <v/>
      </c>
      <c r="BD25" t="str">
        <f t="shared" si="28"/>
        <v>1</v>
      </c>
      <c r="BE25" t="str">
        <f t="shared" si="22"/>
        <v>1</v>
      </c>
      <c r="BF25" t="str">
        <f>"3         "</f>
        <v xml:space="preserve">3         </v>
      </c>
      <c r="BG25" t="str">
        <f>"Confirmado por laboratorio"</f>
        <v>Confirmado por laboratorio</v>
      </c>
      <c r="BH25" t="str">
        <f>"ESE DEL ORDEN DEPARTAMENTAL HOSPITAL NUESTRA SEÑOR"</f>
        <v>ESE DEL ORDEN DEPARTAMENTAL HOSPITAL NUESTRA SEÑOR</v>
      </c>
      <c r="BI25" t="str">
        <f>"CUBA"</f>
        <v>CUBA</v>
      </c>
      <c r="BJ25" t="str">
        <f t="shared" si="17"/>
        <v>CHIKUNGUNYA</v>
      </c>
      <c r="BK25" t="str">
        <f>"EXTERIOR"</f>
        <v>EXTERIOR</v>
      </c>
      <c r="BL25" t="str">
        <f>"EXTERIOR_CUBA"</f>
        <v>EXTERIOR_CUBA</v>
      </c>
      <c r="BM25" t="str">
        <f t="shared" si="18"/>
        <v>COLOMBIA</v>
      </c>
      <c r="BN25" t="str">
        <f>"CUNDINAMARCA"</f>
        <v>CUNDINAMARCA</v>
      </c>
      <c r="BO25" t="str">
        <f>"FUNZA"</f>
        <v>FUNZA</v>
      </c>
      <c r="BP25" t="str">
        <f>"CUNDINAMARCA"</f>
        <v>CUNDINAMARCA</v>
      </c>
      <c r="BQ25" t="str">
        <f>"FUNZA"</f>
        <v>FUNZA</v>
      </c>
    </row>
    <row r="26" spans="1:69" x14ac:dyDescent="0.25">
      <c r="A26" t="str">
        <f>"486593"</f>
        <v>486593</v>
      </c>
      <c r="B26" t="str">
        <f t="shared" si="0"/>
        <v>217</v>
      </c>
      <c r="C26" t="str">
        <f>"22/01/2025 12:00:00 a. m."</f>
        <v>22/01/2025 12:00:00 a. m.</v>
      </c>
      <c r="D26" t="str">
        <f>"04"</f>
        <v>04</v>
      </c>
      <c r="E26" t="str">
        <f t="shared" si="1"/>
        <v>2025</v>
      </c>
      <c r="F26" t="str">
        <f>"8600100038"</f>
        <v>8600100038</v>
      </c>
      <c r="G26" t="str">
        <f>"01"</f>
        <v>01</v>
      </c>
      <c r="H26" t="str">
        <f>"47"</f>
        <v>47</v>
      </c>
      <c r="I26" t="str">
        <f t="shared" si="2"/>
        <v>1</v>
      </c>
      <c r="J26" t="str">
        <f>"M"</f>
        <v>M</v>
      </c>
      <c r="K26" t="str">
        <f>"170"</f>
        <v>170</v>
      </c>
      <c r="L26" t="str">
        <f>"86"</f>
        <v>86</v>
      </c>
      <c r="M26" t="str">
        <f>"885"</f>
        <v>885</v>
      </c>
      <c r="N26" t="str">
        <f>"3"</f>
        <v>3</v>
      </c>
      <c r="O26" t="str">
        <f>"96220"</f>
        <v>96220</v>
      </c>
      <c r="P26" t="str">
        <f>"S"</f>
        <v>S</v>
      </c>
      <c r="Q26" t="str">
        <f>"ESS118"</f>
        <v>ESS118</v>
      </c>
      <c r="R26" t="str">
        <f t="shared" si="4"/>
        <v>6</v>
      </c>
      <c r="S26" t="str">
        <f>""</f>
        <v/>
      </c>
      <c r="T26" t="str">
        <f t="shared" si="5"/>
        <v xml:space="preserve">                                                                                                    </v>
      </c>
      <c r="U26" t="str">
        <f>"1         "</f>
        <v xml:space="preserve">1         </v>
      </c>
      <c r="V26" t="str">
        <f t="shared" si="29"/>
        <v>2</v>
      </c>
      <c r="W26" t="str">
        <f t="shared" si="29"/>
        <v>2</v>
      </c>
      <c r="X26" t="str">
        <f t="shared" si="32"/>
        <v>2</v>
      </c>
      <c r="Y26" t="str">
        <f t="shared" si="30"/>
        <v>2</v>
      </c>
      <c r="Z26" t="str">
        <f t="shared" si="30"/>
        <v>2</v>
      </c>
      <c r="AA26" t="str">
        <f t="shared" si="7"/>
        <v xml:space="preserve">          </v>
      </c>
      <c r="AB26" t="str">
        <f t="shared" si="25"/>
        <v>2</v>
      </c>
      <c r="AC26" t="str">
        <f t="shared" si="25"/>
        <v>2</v>
      </c>
      <c r="AD26" t="str">
        <f t="shared" si="25"/>
        <v>2</v>
      </c>
      <c r="AE26" t="str">
        <f t="shared" si="25"/>
        <v>2</v>
      </c>
      <c r="AF26" t="str">
        <f t="shared" si="25"/>
        <v>2</v>
      </c>
      <c r="AG26" t="str">
        <f t="shared" si="25"/>
        <v>2</v>
      </c>
      <c r="AH26" t="str">
        <f t="shared" si="33"/>
        <v>1</v>
      </c>
      <c r="AI26" t="str">
        <f t="shared" si="35"/>
        <v xml:space="preserve">1         </v>
      </c>
      <c r="AJ26" t="str">
        <f t="shared" si="11"/>
        <v>170</v>
      </c>
      <c r="AK26" t="str">
        <f>"86"</f>
        <v>86</v>
      </c>
      <c r="AL26" t="str">
        <f>"885"</f>
        <v>885</v>
      </c>
      <c r="AM26" t="str">
        <f>"86"</f>
        <v>86</v>
      </c>
      <c r="AN26" t="str">
        <f>"86001"</f>
        <v>86001</v>
      </c>
      <c r="AO26" t="str">
        <f>"21/01/2025 12:00:00 a. m."</f>
        <v>21/01/2025 12:00:00 a. m.</v>
      </c>
      <c r="AP26" t="str">
        <f>"20/01/2025 12:00:00 a. m."</f>
        <v>20/01/2025 12:00:00 a. m.</v>
      </c>
      <c r="AQ26" t="str">
        <f>"4"</f>
        <v>4</v>
      </c>
      <c r="AR26" t="str">
        <f>"1"</f>
        <v>1</v>
      </c>
      <c r="AS26" t="str">
        <f>"21/01/2025 12:00:00 a. m."</f>
        <v>21/01/2025 12:00:00 a. m.</v>
      </c>
      <c r="AT26" t="str">
        <f t="shared" si="27"/>
        <v>1</v>
      </c>
      <c r="AU26" t="str">
        <f>""</f>
        <v/>
      </c>
      <c r="AV26" t="str">
        <f>"0"</f>
        <v>0</v>
      </c>
      <c r="AW26" t="str">
        <f>"26/05/1977 12:00:00 a. m."</f>
        <v>26/05/1977 12:00:00 a. m.</v>
      </c>
      <c r="AX26" t="str">
        <f>""</f>
        <v/>
      </c>
      <c r="AY26" t="str">
        <f>"27/01/2025 12:00:00 a. m."</f>
        <v>27/01/2025 12:00:00 a. m.</v>
      </c>
      <c r="AZ26" t="str">
        <f>"27/01/2025 12:00:00 a. m."</f>
        <v>27/01/2025 12:00:00 a. m.</v>
      </c>
      <c r="BA26" t="str">
        <f>""</f>
        <v/>
      </c>
      <c r="BB26" t="str">
        <f>""</f>
        <v/>
      </c>
      <c r="BC26" t="str">
        <f>""</f>
        <v/>
      </c>
      <c r="BD26" t="str">
        <f t="shared" si="28"/>
        <v>1</v>
      </c>
      <c r="BE26" t="str">
        <f t="shared" si="22"/>
        <v>1</v>
      </c>
      <c r="BF26" t="str">
        <f>"4         "</f>
        <v xml:space="preserve">4         </v>
      </c>
      <c r="BG26" t="str">
        <f>"Confirmado por Clínica"</f>
        <v>Confirmado por Clínica</v>
      </c>
      <c r="BH26" t="str">
        <f>"ESE HOSPITAL JOSE MARIA HERNANDEZ"</f>
        <v>ESE HOSPITAL JOSE MARIA HERNANDEZ</v>
      </c>
      <c r="BI26" t="str">
        <f>"COLOMBIA"</f>
        <v>COLOMBIA</v>
      </c>
      <c r="BJ26" t="str">
        <f t="shared" si="17"/>
        <v>CHIKUNGUNYA</v>
      </c>
      <c r="BK26" t="str">
        <f>"PUTUMAYO"</f>
        <v>PUTUMAYO</v>
      </c>
      <c r="BL26" t="str">
        <f>"VILLAGARZON"</f>
        <v>VILLAGARZON</v>
      </c>
      <c r="BM26" t="str">
        <f t="shared" si="18"/>
        <v>COLOMBIA</v>
      </c>
      <c r="BN26" t="str">
        <f>"PUTUMAYO"</f>
        <v>PUTUMAYO</v>
      </c>
      <c r="BO26" t="str">
        <f>"VILLAGARZON"</f>
        <v>VILLAGARZON</v>
      </c>
      <c r="BP26" t="str">
        <f>"PUTUMAYO"</f>
        <v>PUTUMAYO</v>
      </c>
      <c r="BQ26" t="str">
        <f>"MOCOA"</f>
        <v>MOCOA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0F91848CF9094BA24D6F72AB1C19A5" ma:contentTypeVersion="6" ma:contentTypeDescription="Crear nuevo documento." ma:contentTypeScope="" ma:versionID="bf84041898f97bbb3620e7c73ddc17ce">
  <xsd:schema xmlns:xsd="http://www.w3.org/2001/XMLSchema" xmlns:xs="http://www.w3.org/2001/XMLSchema" xmlns:p="http://schemas.microsoft.com/office/2006/metadata/properties" xmlns:ns2="15e79875-c2c7-4912-a4ff-3f4c34816e1e" xmlns:ns3="34c1d962-c586-43d3-9fbb-c95e9d915fa3" targetNamespace="http://schemas.microsoft.com/office/2006/metadata/properties" ma:root="true" ma:fieldsID="910e7ac39d5e849160b7623cdda64ce0" ns2:_="" ns3:_="">
    <xsd:import namespace="15e79875-c2c7-4912-a4ff-3f4c34816e1e"/>
    <xsd:import namespace="34c1d962-c586-43d3-9fbb-c95e9d915fa3"/>
    <xsd:element name="properties">
      <xsd:complexType>
        <xsd:sequence>
          <xsd:element name="documentManagement">
            <xsd:complexType>
              <xsd:all>
                <xsd:element ref="ns2:A_x00f1_o" minOccurs="0"/>
                <xsd:element ref="ns2:CodigoEvento" minOccurs="0"/>
                <xsd:element ref="ns2:NombreEvento" minOccurs="0"/>
                <xsd:element ref="ns2:Evento" minOccurs="0"/>
                <xsd:element ref="ns2:Descripcion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e79875-c2c7-4912-a4ff-3f4c34816e1e" elementFormDefault="qualified">
    <xsd:import namespace="http://schemas.microsoft.com/office/2006/documentManagement/types"/>
    <xsd:import namespace="http://schemas.microsoft.com/office/infopath/2007/PartnerControls"/>
    <xsd:element name="A_x00f1_o" ma:index="8" nillable="true" ma:displayName="Año" ma:internalName="A_x00f1_o">
      <xsd:simpleType>
        <xsd:restriction base="dms:Text">
          <xsd:maxLength value="255"/>
        </xsd:restriction>
      </xsd:simpleType>
    </xsd:element>
    <xsd:element name="CodigoEvento" ma:index="9" nillable="true" ma:displayName="CodigoEvento" ma:internalName="CodigoEvento">
      <xsd:simpleType>
        <xsd:restriction base="dms:Text">
          <xsd:maxLength value="255"/>
        </xsd:restriction>
      </xsd:simpleType>
    </xsd:element>
    <xsd:element name="NombreEvento" ma:index="10" nillable="true" ma:displayName="NombreEvento" ma:internalName="NombreEvento">
      <xsd:simpleType>
        <xsd:restriction base="dms:Text">
          <xsd:maxLength value="255"/>
        </xsd:restriction>
      </xsd:simpleType>
    </xsd:element>
    <xsd:element name="Evento" ma:index="11" nillable="true" ma:displayName="Evento" ma:default="Zika" ma:format="Dropdown" ma:internalName="Evento">
      <xsd:simpleType>
        <xsd:restriction base="dms:Choice">
          <xsd:enumeration value="Zika"/>
          <xsd:enumeration value="Dengue"/>
          <xsd:enumeration value="xxx"/>
        </xsd:restriction>
      </xsd:simpleType>
    </xsd:element>
    <xsd:element name="Descripcion" ma:index="12" nillable="true" ma:displayName="Descripcion" ma:internalName="Descripc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1d962-c586-43d3-9fbb-c95e9d915fa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_x00f1_o xmlns="15e79875-c2c7-4912-a4ff-3f4c34816e1e">2025</A_x00f1_o>
    <CodigoEvento xmlns="15e79875-c2c7-4912-a4ff-3f4c34816e1e">217</CodigoEvento>
    <Descripcion xmlns="15e79875-c2c7-4912-a4ff-3f4c34816e1e">Aquí encontrara las bases de datos depuradas, nominales y sin datos de identificación personal de los eventos de interés en salud pública disponibles desde el año 2007 en adelante.</Descripcion>
    <NombreEvento xmlns="15e79875-c2c7-4912-a4ff-3f4c34816e1e">Chikunguya</NombreEvento>
    <Evento xmlns="15e79875-c2c7-4912-a4ff-3f4c34816e1e">Zika</Evento>
  </documentManagement>
</p:properties>
</file>

<file path=customXml/itemProps1.xml><?xml version="1.0" encoding="utf-8"?>
<ds:datastoreItem xmlns:ds="http://schemas.openxmlformats.org/officeDocument/2006/customXml" ds:itemID="{9F4D21D2-DB97-4E26-88EE-713F181815D2}"/>
</file>

<file path=customXml/itemProps2.xml><?xml version="1.0" encoding="utf-8"?>
<ds:datastoreItem xmlns:ds="http://schemas.openxmlformats.org/officeDocument/2006/customXml" ds:itemID="{EFA18551-DFAD-4985-9D2E-880CA276BCC1}"/>
</file>

<file path=customXml/itemProps3.xml><?xml version="1.0" encoding="utf-8"?>
<ds:datastoreItem xmlns:ds="http://schemas.openxmlformats.org/officeDocument/2006/customXml" ds:itemID="{9C9562AE-FC67-4C8A-8F1D-49E6C0F7AB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Eduardo Casallas Bedoya</cp:lastModifiedBy>
  <dcterms:modified xsi:type="dcterms:W3CDTF">2026-08-06T22:13:09Z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0x0101000E0F91848CF9094BA24D6F72AB1C19A5</vt:lpwstr>
  </property>
</Properties>
</file>